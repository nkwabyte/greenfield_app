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1" activeTab="10"/>
  </bookViews>
  <sheets>
    <sheet name="SUMMARY" sheetId="21" r:id="rId1"/>
    <sheet name="1." sheetId="3" r:id="rId2"/>
    <sheet name="GOD FIRST" sheetId="8" r:id="rId3"/>
    <sheet name="GYASEHENE" sheetId="4" r:id="rId4"/>
    <sheet name="ADIEPANA" sheetId="5" r:id="rId5"/>
    <sheet name="BAAKOYE" sheetId="7" r:id="rId6"/>
    <sheet name="0" sheetId="9" r:id="rId7"/>
    <sheet name="YAWOWUSUKROM" sheetId="10" r:id="rId8"/>
    <sheet name="kramokrom 1" sheetId="11" r:id="rId9"/>
    <sheet name="SH1" sheetId="12" r:id="rId10"/>
    <sheet name="ADAMSO." sheetId="13" r:id="rId11"/>
    <sheet name="13" sheetId="14" r:id="rId12"/>
    <sheet name="12" sheetId="15" r:id="rId13"/>
    <sheet name="5" sheetId="16" r:id="rId14"/>
    <sheet name="4" sheetId="18" r:id="rId15"/>
    <sheet name="3" sheetId="17" r:id="rId16"/>
    <sheet name="11" sheetId="19" r:id="rId17"/>
    <sheet name="1" sheetId="6" r:id="rId18"/>
    <sheet name="SHEET 18" sheetId="20" r:id="rId19"/>
    <sheet name="SHEET 19" sheetId="22" r:id="rId20"/>
    <sheet name="SHEET 20" sheetId="23" r:id="rId21"/>
    <sheet name="SHEET 21" sheetId="24" r:id="rId22"/>
    <sheet name="SHEET 22" sheetId="25" r:id="rId23"/>
    <sheet name="SHEET 23" sheetId="26" r:id="rId24"/>
    <sheet name="SHEET 24" sheetId="27" r:id="rId25"/>
    <sheet name="SHEET 25" sheetId="28" r:id="rId26"/>
    <sheet name="SHEET 26" sheetId="29" r:id="rId27"/>
    <sheet name="SHEET 27" sheetId="30" r:id="rId28"/>
    <sheet name="SHEET 28" sheetId="31" r:id="rId29"/>
    <sheet name="SHEET 29" sheetId="32" r:id="rId30"/>
    <sheet name="SHEET 30" sheetId="33" r:id="rId31"/>
    <sheet name="SHEET 31" sheetId="34" r:id="rId32"/>
    <sheet name="SHEET 32" sheetId="35" r:id="rId33"/>
    <sheet name="SHEET 33" sheetId="36" r:id="rId34"/>
    <sheet name="SHEET 34" sheetId="37" r:id="rId35"/>
    <sheet name="SHEET 35" sheetId="38" r:id="rId36"/>
    <sheet name="SHEET 36" sheetId="39" r:id="rId37"/>
    <sheet name="SHEET 37" sheetId="40" r:id="rId38"/>
    <sheet name="SHEET 38" sheetId="41" r:id="rId39"/>
    <sheet name="SHEET 39" sheetId="42" r:id="rId40"/>
    <sheet name="SHEET 40" sheetId="43" r:id="rId41"/>
    <sheet name="SHEET 41" sheetId="44" r:id="rId42"/>
    <sheet name="SHEET 42" sheetId="45" r:id="rId43"/>
    <sheet name="SHEET 43" sheetId="46" r:id="rId44"/>
    <sheet name="SHEET 44" sheetId="47" r:id="rId45"/>
    <sheet name="SHEET 45" sheetId="48" r:id="rId46"/>
    <sheet name="SHEET 46" sheetId="49" r:id="rId47"/>
    <sheet name="SHEET 47" sheetId="50" r:id="rId48"/>
    <sheet name="SHEET 48" sheetId="51" r:id="rId49"/>
    <sheet name="SHEET 49" sheetId="52" r:id="rId50"/>
    <sheet name="SHEET 50" sheetId="53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<sst xmlns="http://schemas.openxmlformats.org/spreadsheetml/2006/main" count="3218" uniqueCount="317">
  <si>
    <t>SUMMARY</t>
  </si>
  <si>
    <t>NO.</t>
  </si>
  <si>
    <t>INDICATORS</t>
  </si>
  <si>
    <t>FIGURES</t>
  </si>
  <si>
    <t>TOTAL NO. OF FARMERS</t>
  </si>
  <si>
    <t>AV.INPUTS LOAN SIZE</t>
  </si>
  <si>
    <t>TOTAL INPUTS LOAN (GHc)</t>
  </si>
  <si>
    <t>TOTAL DEPOSIT PAID (GHc)</t>
  </si>
  <si>
    <t>TOTAL OUTS.BALANCE (GHc)</t>
  </si>
  <si>
    <t>TOTAL PAYMENT MADE (GHc)</t>
  </si>
  <si>
    <t>EXPECTED REPAYMENT</t>
  </si>
  <si>
    <t>OCTOBER</t>
  </si>
  <si>
    <t>NOVEMBER</t>
  </si>
  <si>
    <t>DECEMBER</t>
  </si>
  <si>
    <t>NOTE:</t>
  </si>
  <si>
    <t>1. Enter the quantity of agro inputs requested by the farmer either in pcs or boxes under each agro input</t>
  </si>
  <si>
    <t>2. Do not change any thing in the excel sheet. The cells are linked</t>
  </si>
  <si>
    <t xml:space="preserve">                     REGION:</t>
  </si>
  <si>
    <t>DISTRICT:</t>
  </si>
  <si>
    <t>SOCIETY:</t>
  </si>
  <si>
    <t>NKABOM MA NKCSUO</t>
  </si>
  <si>
    <t>FARMER NAME</t>
  </si>
  <si>
    <t>MOBILE NO.</t>
  </si>
  <si>
    <t>AcetaStar -Adama (1Lt)</t>
  </si>
  <si>
    <t>Galil</t>
  </si>
  <si>
    <t>AKATE BRAFO</t>
  </si>
  <si>
    <t>PHYTOGREEN</t>
  </si>
  <si>
    <t>BEGREEN</t>
  </si>
  <si>
    <t>Agyenkwa Liquid Fertilizer  (5Lt)</t>
  </si>
  <si>
    <t>Matabi (15Lt)</t>
  </si>
  <si>
    <t xml:space="preserve">PLANTFEED </t>
  </si>
  <si>
    <t xml:space="preserve">Solo Machine </t>
  </si>
  <si>
    <t>All Wedicides (Glyphosate)</t>
  </si>
  <si>
    <t>NODOX</t>
  </si>
  <si>
    <t>ALL GRAMO</t>
  </si>
  <si>
    <t>STANDARD PRUNNER</t>
  </si>
  <si>
    <t>WELLINGTON BOOT</t>
  </si>
  <si>
    <t>OVERALL</t>
  </si>
  <si>
    <t>TOTAL AMOUNT (GHc)</t>
  </si>
  <si>
    <t>DEPOSIT</t>
  </si>
  <si>
    <t>OUTS. BALANCE (GHc)</t>
  </si>
  <si>
    <t>REPAYMENT PLAN(GHC)</t>
  </si>
  <si>
    <t>PCs</t>
  </si>
  <si>
    <t>Box (12pcs)</t>
  </si>
  <si>
    <t>Box</t>
  </si>
  <si>
    <t>1LT</t>
  </si>
  <si>
    <t>BOX(15)</t>
  </si>
  <si>
    <t>1GALLON</t>
  </si>
  <si>
    <t>BOX(6)</t>
  </si>
  <si>
    <t>Box(4)</t>
  </si>
  <si>
    <t>1 GALLON</t>
  </si>
  <si>
    <t>BOX(4)</t>
  </si>
  <si>
    <t>PCS</t>
  </si>
  <si>
    <t>BOX(12)</t>
  </si>
  <si>
    <t>PC</t>
  </si>
  <si>
    <t>OCT</t>
  </si>
  <si>
    <t>NOV</t>
  </si>
  <si>
    <t>DEC</t>
  </si>
  <si>
    <t>TOTAL PAYMENT</t>
  </si>
  <si>
    <t>REMN</t>
  </si>
  <si>
    <t xml:space="preserve">  </t>
  </si>
  <si>
    <t>TOTAL</t>
  </si>
  <si>
    <t>Price</t>
  </si>
  <si>
    <t>ASHANTI</t>
  </si>
  <si>
    <t>OBUASI</t>
  </si>
  <si>
    <t>GOD FIRST</t>
  </si>
  <si>
    <t>DEPOSIT PAID (GHc)</t>
  </si>
  <si>
    <t>oct</t>
  </si>
  <si>
    <t>OSEI RITA</t>
  </si>
  <si>
    <t>0244198138</t>
  </si>
  <si>
    <t>MARTEY NYARKO JOSEPH</t>
  </si>
  <si>
    <t>0246774535</t>
  </si>
  <si>
    <t>TEYE STEPHEN</t>
  </si>
  <si>
    <t>05330590788</t>
  </si>
  <si>
    <t>NYARKO AKOSUA</t>
  </si>
  <si>
    <t>0552370981</t>
  </si>
  <si>
    <t>MENSAH GRACE</t>
  </si>
  <si>
    <t>0247474621</t>
  </si>
  <si>
    <t>TETTEH ERIC</t>
  </si>
  <si>
    <t>0555043418</t>
  </si>
  <si>
    <t>AJETTEY NOAH</t>
  </si>
  <si>
    <t>0559596078</t>
  </si>
  <si>
    <t>AMUSITEY LAWLEY</t>
  </si>
  <si>
    <t>MARY SARKODIE</t>
  </si>
  <si>
    <t>02488221121</t>
  </si>
  <si>
    <t>AWINI YAW</t>
  </si>
  <si>
    <t>0545111843</t>
  </si>
  <si>
    <t>ADU GYAMFI THOMAS</t>
  </si>
  <si>
    <t>ACHAAMA MILLICENT</t>
  </si>
  <si>
    <t>0542349614</t>
  </si>
  <si>
    <t>AYISAH ASIBI</t>
  </si>
  <si>
    <t>0241557179</t>
  </si>
  <si>
    <t>EMMANUEL ASARE</t>
  </si>
  <si>
    <t>0542614482</t>
  </si>
  <si>
    <t>ASANTEWAA RUTH</t>
  </si>
  <si>
    <t>0256294169</t>
  </si>
  <si>
    <t>ADUSEI DOUGLAS</t>
  </si>
  <si>
    <t>AGYEMANG MICHEAL</t>
  </si>
  <si>
    <t>0543567266</t>
  </si>
  <si>
    <t>BENYIN COMFORT</t>
  </si>
  <si>
    <t>0593434089</t>
  </si>
  <si>
    <t>AFFUL KOFI ISAAC</t>
  </si>
  <si>
    <t>0549530895</t>
  </si>
  <si>
    <t>ASARE ERASMUS</t>
  </si>
  <si>
    <t>0553883893</t>
  </si>
  <si>
    <t>DANFUL KWAME</t>
  </si>
  <si>
    <t>0535977781</t>
  </si>
  <si>
    <t>NYANKSON DAVID</t>
  </si>
  <si>
    <t>0240352195</t>
  </si>
  <si>
    <t>NYANKSON LORD</t>
  </si>
  <si>
    <t>0257671950</t>
  </si>
  <si>
    <t>GYE NYAME</t>
  </si>
  <si>
    <t>OBENG GLADYS</t>
  </si>
  <si>
    <t>0558465075</t>
  </si>
  <si>
    <t>ANOTSE VERONICA</t>
  </si>
  <si>
    <t>0548659133</t>
  </si>
  <si>
    <t>SULEMANA SALAMATU</t>
  </si>
  <si>
    <t>0558075173</t>
  </si>
  <si>
    <t>SALIFU ALHASSAN</t>
  </si>
  <si>
    <t>0557102174</t>
  </si>
  <si>
    <t>SEIDU YAKUBU</t>
  </si>
  <si>
    <t>ANINIG YAW</t>
  </si>
  <si>
    <t>0553629978</t>
  </si>
  <si>
    <t>NKRUMAH ANTHONY</t>
  </si>
  <si>
    <t>0247342328</t>
  </si>
  <si>
    <t>AGBOZA JULIANA</t>
  </si>
  <si>
    <t>0241558481</t>
  </si>
  <si>
    <t>BADU HANNAH</t>
  </si>
  <si>
    <t>0248161111</t>
  </si>
  <si>
    <t>MENSAH GEORGINA</t>
  </si>
  <si>
    <t>0535230538</t>
  </si>
  <si>
    <t>ADOM</t>
  </si>
  <si>
    <t>ANANE ROSE</t>
  </si>
  <si>
    <t>0591979426</t>
  </si>
  <si>
    <t>MENSAH AMOS</t>
  </si>
  <si>
    <t>0543364140</t>
  </si>
  <si>
    <t>ADDAI ERNEST</t>
  </si>
  <si>
    <t>0243341869</t>
  </si>
  <si>
    <t>ISSAKA ANTHONY</t>
  </si>
  <si>
    <t>0554992080</t>
  </si>
  <si>
    <t>AKAWBOAH ROBERT</t>
  </si>
  <si>
    <t>0249061171</t>
  </si>
  <si>
    <t>AYOMAN MARTIN</t>
  </si>
  <si>
    <t>0547277885</t>
  </si>
  <si>
    <t>ASIMARTEY GEORGE</t>
  </si>
  <si>
    <t>0592892457</t>
  </si>
  <si>
    <t>KYEREWAA MERCY</t>
  </si>
  <si>
    <t>0533350145</t>
  </si>
  <si>
    <t>KANKAM KINGSLEY</t>
  </si>
  <si>
    <t>0535760424</t>
  </si>
  <si>
    <t>OFOSU JANET</t>
  </si>
  <si>
    <t>0532503326</t>
  </si>
  <si>
    <t>APPIAH EMMANUEL</t>
  </si>
  <si>
    <t>0554185817</t>
  </si>
  <si>
    <t>BOADIWAA JANET</t>
  </si>
  <si>
    <t>TIPURA AGNES</t>
  </si>
  <si>
    <t>0535584924</t>
  </si>
  <si>
    <t>DONKOR GRACE</t>
  </si>
  <si>
    <t>0248048543</t>
  </si>
  <si>
    <t>TAWIA ESTHER</t>
  </si>
  <si>
    <t>0548335117</t>
  </si>
  <si>
    <t>TETTEH BENJAMIN</t>
  </si>
  <si>
    <t>0591463482</t>
  </si>
  <si>
    <t>AMERSAKI DANIEL</t>
  </si>
  <si>
    <t>0247024779</t>
  </si>
  <si>
    <t>GAREBA ISSAKA</t>
  </si>
  <si>
    <t>0247029576</t>
  </si>
  <si>
    <t xml:space="preserve">AFRIYIE JOSEPH </t>
  </si>
  <si>
    <t>0542014600</t>
  </si>
  <si>
    <t>SACKEY ABRAHAM</t>
  </si>
  <si>
    <t>0246895262</t>
  </si>
  <si>
    <t>BAAKOYE</t>
  </si>
  <si>
    <t>KWAMEKROM KRAMOKROM</t>
  </si>
  <si>
    <t>nov b</t>
  </si>
  <si>
    <t>TETTEH CHISTIAN KOFI</t>
  </si>
  <si>
    <t>0240557465</t>
  </si>
  <si>
    <t>BINFOR ISAAC</t>
  </si>
  <si>
    <t>TETTEH COMFORT</t>
  </si>
  <si>
    <t>0548918819</t>
  </si>
  <si>
    <t>TETTEH AGNES</t>
  </si>
  <si>
    <t>BOAHEN SOLOMON</t>
  </si>
  <si>
    <t>0548578638</t>
  </si>
  <si>
    <t>KWAW REBECCA</t>
  </si>
  <si>
    <t>0531890058</t>
  </si>
  <si>
    <t>NKANSAH ABRAHAM</t>
  </si>
  <si>
    <t>0551354413</t>
  </si>
  <si>
    <t>TETTEH JOSEPH</t>
  </si>
  <si>
    <t>0557832685</t>
  </si>
  <si>
    <t>NARTEH GEORGE</t>
  </si>
  <si>
    <t>0546206580</t>
  </si>
  <si>
    <t>NARTEY LYDIA</t>
  </si>
  <si>
    <t>0546371668</t>
  </si>
  <si>
    <t>TETTEH MARY</t>
  </si>
  <si>
    <t>0240094471</t>
  </si>
  <si>
    <t>AKWETEY DIDSON</t>
  </si>
  <si>
    <t>TETTEH FREDRICK</t>
  </si>
  <si>
    <t>SEGBEFIA BRIGHT NANA YAW</t>
  </si>
  <si>
    <t>BOAKYE RICHMOND ABU</t>
  </si>
  <si>
    <t>obuasi</t>
  </si>
  <si>
    <t>ONWE</t>
  </si>
  <si>
    <t>NEW PRICES</t>
  </si>
  <si>
    <t>TEPA</t>
  </si>
  <si>
    <r>
      <rPr>
        <b/>
        <sz val="12"/>
        <color theme="2" tint="-0.0999786370433668"/>
        <rFont val="Times New Roman"/>
        <charset val="134"/>
      </rPr>
      <t>ODO NA EFE,</t>
    </r>
    <r>
      <rPr>
        <b/>
        <sz val="12"/>
        <color theme="3" tint="0.799951170384838"/>
        <rFont val="Times New Roman"/>
        <charset val="134"/>
      </rPr>
      <t>NYAME AKWAN,MPIRENKYE</t>
    </r>
  </si>
  <si>
    <t>AGYEI PRINCE</t>
  </si>
  <si>
    <t>0533979381</t>
  </si>
  <si>
    <t>GANU KWEKU</t>
  </si>
  <si>
    <t>0548871853</t>
  </si>
  <si>
    <t>BRUKU YAW</t>
  </si>
  <si>
    <t>0544296626</t>
  </si>
  <si>
    <t>OPOKU NAOMI</t>
  </si>
  <si>
    <t>0543346777</t>
  </si>
  <si>
    <t>ADDAI FRANCIS</t>
  </si>
  <si>
    <t>0542995158</t>
  </si>
  <si>
    <t>OPOKU BENJAMIN</t>
  </si>
  <si>
    <t>AMANKWAANOR KWAME</t>
  </si>
  <si>
    <t>0545774137</t>
  </si>
  <si>
    <t>NKRUMAH GEORGE</t>
  </si>
  <si>
    <t>0256718824</t>
  </si>
  <si>
    <t>AKPABLA OLIVIA</t>
  </si>
  <si>
    <t>0242747263</t>
  </si>
  <si>
    <t>MANU ESTHER</t>
  </si>
  <si>
    <t>OFFEI RICHARD</t>
  </si>
  <si>
    <t>0248525154</t>
  </si>
  <si>
    <t>0559019318</t>
  </si>
  <si>
    <t>BOAKYE RICHMOND ADU</t>
  </si>
  <si>
    <t>0240622624</t>
  </si>
  <si>
    <t>0241587170</t>
  </si>
  <si>
    <t>ATEMO SETH</t>
  </si>
  <si>
    <t>0530392644</t>
  </si>
  <si>
    <t>NKABOM MAN</t>
  </si>
  <si>
    <t>kramokrom</t>
  </si>
  <si>
    <t>TEYE JOSHUA</t>
  </si>
  <si>
    <t>02421093512</t>
  </si>
  <si>
    <t>YIADOMAA ELIZABETH</t>
  </si>
  <si>
    <t>NARH THEOPHILUS</t>
  </si>
  <si>
    <t>0543421545</t>
  </si>
  <si>
    <t>NYIMETEYE SAMUEL</t>
  </si>
  <si>
    <t>OBENG LAWRENCE</t>
  </si>
  <si>
    <t>TETTEH SAMUEL</t>
  </si>
  <si>
    <t>0533072508</t>
  </si>
  <si>
    <t>SERWAA GIFTY</t>
  </si>
  <si>
    <t>0555055892</t>
  </si>
  <si>
    <t>AYEREBI AGNES</t>
  </si>
  <si>
    <t>0549322636</t>
  </si>
  <si>
    <t>SEKYI CHARITY</t>
  </si>
  <si>
    <t>059558220</t>
  </si>
  <si>
    <t>TEKPERTRY RICHARD</t>
  </si>
  <si>
    <t>0547111519</t>
  </si>
  <si>
    <t>ACQUAH JOHN</t>
  </si>
  <si>
    <t>0541041140</t>
  </si>
  <si>
    <t>ADJEI PATRIC JUNIOR-NANA</t>
  </si>
  <si>
    <t>0243960229</t>
  </si>
  <si>
    <t>FRIMPONG STEPHEN OFORI</t>
  </si>
  <si>
    <t>0555607369</t>
  </si>
  <si>
    <t>BOATENG EBENEZER</t>
  </si>
  <si>
    <t>0245960229</t>
  </si>
  <si>
    <t>OBENG ISAAC</t>
  </si>
  <si>
    <t>0549301571</t>
  </si>
  <si>
    <t>ASAMOAH COMFORT</t>
  </si>
  <si>
    <t>0592954370</t>
  </si>
  <si>
    <t xml:space="preserve">ASARE AKWASI </t>
  </si>
  <si>
    <t>0547375189</t>
  </si>
  <si>
    <t>LOMOTEY AGNES</t>
  </si>
  <si>
    <t>0556098446</t>
  </si>
  <si>
    <t>ATTA REBECCA</t>
  </si>
  <si>
    <t>MUSA MAKU</t>
  </si>
  <si>
    <t>KORLEY KWASI MATIN</t>
  </si>
  <si>
    <t/>
  </si>
  <si>
    <t>TEYE GRACE</t>
  </si>
  <si>
    <t>0551177951</t>
  </si>
  <si>
    <t>TEYE SAMUEL</t>
  </si>
  <si>
    <t>0543062229</t>
  </si>
  <si>
    <t>TEYE MONICA</t>
  </si>
  <si>
    <t>DANKYI PAUL</t>
  </si>
  <si>
    <t>0246894120</t>
  </si>
  <si>
    <t>KWABLA SOLOMON</t>
  </si>
  <si>
    <t>0241985412</t>
  </si>
  <si>
    <t>ABDULRAMANI IBRAHIM</t>
  </si>
  <si>
    <t>KWAKYE CHARLES</t>
  </si>
  <si>
    <t>SOLOMON KWABENA</t>
  </si>
  <si>
    <t>EMMANUEL MARTEY</t>
  </si>
  <si>
    <t>ARHIN KWAKU</t>
  </si>
  <si>
    <t>MUSA  MAKU</t>
  </si>
  <si>
    <t>0532783503</t>
  </si>
  <si>
    <t>SEIDU ABUBAKAR</t>
  </si>
  <si>
    <t>ATAYA BASE</t>
  </si>
  <si>
    <t>ADAMSO NKABOMKUO</t>
  </si>
  <si>
    <t>MUHAMADU HARUNA</t>
  </si>
  <si>
    <t>0597386565</t>
  </si>
  <si>
    <t>ASARE DEDE</t>
  </si>
  <si>
    <t>ODURO MANSA</t>
  </si>
  <si>
    <t xml:space="preserve">AMOAH WIREDU AKWASI </t>
  </si>
  <si>
    <t>0242950282</t>
  </si>
  <si>
    <t>OSMANU SULE</t>
  </si>
  <si>
    <t>0531955660</t>
  </si>
  <si>
    <t>KWAKYE PHILIMON SANDYS</t>
  </si>
  <si>
    <t>NIMO JOSEPH BRUCE</t>
  </si>
  <si>
    <t>ASAMOAH GEORGINA</t>
  </si>
  <si>
    <t>0592837722</t>
  </si>
  <si>
    <t>OPPPONG EDWARD</t>
  </si>
  <si>
    <t>0559505845</t>
  </si>
  <si>
    <t>AMANKWAH ERNEST</t>
  </si>
  <si>
    <t>CUDJOE EMMANUEL</t>
  </si>
  <si>
    <t>BENFO KWASI</t>
  </si>
  <si>
    <t>KRAMOKROM</t>
  </si>
  <si>
    <t>ASEMPANAYE</t>
  </si>
  <si>
    <t>0599043061</t>
  </si>
  <si>
    <t>0545577756</t>
  </si>
  <si>
    <t>0247086080</t>
  </si>
  <si>
    <t>0554325958</t>
  </si>
  <si>
    <t>0240981003</t>
  </si>
  <si>
    <t>0597732554</t>
  </si>
  <si>
    <t>0592466141</t>
  </si>
  <si>
    <t xml:space="preserve"> </t>
  </si>
  <si>
    <t>AMANKWAA-NKWANTA</t>
  </si>
  <si>
    <t>REPAYMENT PLAN (GHc)</t>
  </si>
  <si>
    <t>YAW BREFO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</si>
</sst>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3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i/>
      <sz val="12"/>
      <color rgb="FFFF0000"/>
      <name val="Times New Roman"/>
      <charset val="134"/>
    </font>
    <font>
      <b/>
      <sz val="12"/>
      <name val="Times New Roman"/>
      <charset val="134"/>
    </font>
    <font>
      <sz val="12"/>
      <color rgb="FFFF0000"/>
      <name val="Times New Roman"/>
      <charset val="134"/>
    </font>
    <font>
      <b/>
      <sz val="12"/>
      <color rgb="FFFF0000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2" tint="-0.0999786370433668"/>
      <name val="Times New Roman"/>
      <charset val="134"/>
    </font>
    <font>
      <b/>
      <sz val="12"/>
      <color theme="3" tint="0.799951170384838"/>
      <name val="Times New Roman"/>
      <charset val="134"/>
    </font>
  </fonts>
  <fills count="45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5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1" applyNumberFormat="0" applyFill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53" applyNumberFormat="0" applyAlignment="0" applyProtection="0">
      <alignment vertical="center"/>
    </xf>
    <xf numFmtId="0" fontId="21" fillId="16" borderId="54" applyNumberFormat="0" applyAlignment="0" applyProtection="0">
      <alignment vertical="center"/>
    </xf>
    <xf numFmtId="0" fontId="22" fillId="16" borderId="53" applyNumberFormat="0" applyAlignment="0" applyProtection="0">
      <alignment vertical="center"/>
    </xf>
    <xf numFmtId="0" fontId="23" fillId="17" borderId="55" applyNumberFormat="0" applyAlignment="0" applyProtection="0">
      <alignment vertical="center"/>
    </xf>
    <xf numFmtId="0" fontId="24" fillId="0" borderId="56" applyNumberFormat="0" applyFill="0" applyAlignment="0" applyProtection="0">
      <alignment vertical="center"/>
    </xf>
    <xf numFmtId="0" fontId="25" fillId="0" borderId="57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3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 wrapText="1"/>
    </xf>
    <xf numFmtId="0" fontId="2" fillId="3" borderId="7" xfId="0" applyFont="1" applyFill="1" applyBorder="1"/>
    <xf numFmtId="0" fontId="2" fillId="3" borderId="8" xfId="0" applyFont="1" applyFill="1" applyBorder="1"/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left"/>
    </xf>
    <xf numFmtId="0" fontId="1" fillId="0" borderId="18" xfId="0" applyFont="1" applyBorder="1"/>
    <xf numFmtId="0" fontId="2" fillId="0" borderId="19" xfId="0" applyFont="1" applyBorder="1"/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2" borderId="7" xfId="0" applyFont="1" applyFill="1" applyBorder="1"/>
    <xf numFmtId="0" fontId="1" fillId="3" borderId="7" xfId="0" applyFont="1" applyFill="1" applyBorder="1"/>
    <xf numFmtId="0" fontId="5" fillId="0" borderId="2" xfId="0" applyFont="1" applyBorder="1"/>
    <xf numFmtId="0" fontId="6" fillId="0" borderId="21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4" borderId="7" xfId="0" applyFont="1" applyFill="1" applyBorder="1"/>
    <xf numFmtId="0" fontId="2" fillId="4" borderId="8" xfId="0" applyFont="1" applyFill="1" applyBorder="1"/>
    <xf numFmtId="0" fontId="2" fillId="5" borderId="22" xfId="0" applyFont="1" applyFill="1" applyBorder="1"/>
    <xf numFmtId="0" fontId="2" fillId="5" borderId="6" xfId="0" applyFont="1" applyFill="1" applyBorder="1"/>
    <xf numFmtId="0" fontId="2" fillId="6" borderId="22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5" borderId="23" xfId="0" applyFont="1" applyFill="1" applyBorder="1"/>
    <xf numFmtId="0" fontId="1" fillId="5" borderId="11" xfId="0" applyFont="1" applyFill="1" applyBorder="1"/>
    <xf numFmtId="0" fontId="1" fillId="6" borderId="23" xfId="0" applyFont="1" applyFill="1" applyBorder="1"/>
    <xf numFmtId="0" fontId="1" fillId="6" borderId="12" xfId="0" applyFont="1" applyFill="1" applyBorder="1"/>
    <xf numFmtId="0" fontId="1" fillId="5" borderId="12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5" borderId="24" xfId="0" applyFont="1" applyFill="1" applyBorder="1"/>
    <xf numFmtId="0" fontId="1" fillId="5" borderId="15" xfId="0" applyFont="1" applyFill="1" applyBorder="1"/>
    <xf numFmtId="0" fontId="1" fillId="6" borderId="24" xfId="0" applyFont="1" applyFill="1" applyBorder="1"/>
    <xf numFmtId="0" fontId="1" fillId="6" borderId="16" xfId="0" applyFont="1" applyFill="1" applyBorder="1"/>
    <xf numFmtId="0" fontId="1" fillId="5" borderId="16" xfId="0" applyFont="1" applyFill="1" applyBorder="1"/>
    <xf numFmtId="0" fontId="1" fillId="4" borderId="7" xfId="0" applyFont="1" applyFill="1" applyBorder="1"/>
    <xf numFmtId="0" fontId="1" fillId="5" borderId="7" xfId="0" applyFont="1" applyFill="1" applyBorder="1"/>
    <xf numFmtId="0" fontId="1" fillId="6" borderId="7" xfId="0" applyFont="1" applyFill="1" applyBorder="1"/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9" borderId="25" xfId="0" applyFont="1" applyFill="1" applyBorder="1" applyAlignment="1">
      <alignment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7" borderId="7" xfId="0" applyFont="1" applyFill="1" applyBorder="1"/>
    <xf numFmtId="0" fontId="2" fillId="8" borderId="19" xfId="0" applyFont="1" applyFill="1" applyBorder="1"/>
    <xf numFmtId="0" fontId="2" fillId="8" borderId="6" xfId="0" applyFont="1" applyFill="1" applyBorder="1"/>
    <xf numFmtId="0" fontId="2" fillId="9" borderId="6" xfId="0" applyFont="1" applyFill="1" applyBorder="1"/>
    <xf numFmtId="0" fontId="2" fillId="10" borderId="6" xfId="0" applyFont="1" applyFill="1" applyBorder="1"/>
    <xf numFmtId="0" fontId="2" fillId="4" borderId="6" xfId="0" applyFont="1" applyFill="1" applyBorder="1"/>
    <xf numFmtId="0" fontId="2" fillId="5" borderId="19" xfId="0" applyFont="1" applyFill="1" applyBorder="1"/>
    <xf numFmtId="0" fontId="1" fillId="7" borderId="11" xfId="0" applyFont="1" applyFill="1" applyBorder="1"/>
    <xf numFmtId="0" fontId="1" fillId="8" borderId="10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1" fillId="10" borderId="9" xfId="0" applyFont="1" applyFill="1" applyBorder="1"/>
    <xf numFmtId="0" fontId="1" fillId="4" borderId="9" xfId="0" applyFont="1" applyFill="1" applyBorder="1"/>
    <xf numFmtId="0" fontId="1" fillId="5" borderId="10" xfId="0" applyFont="1" applyFill="1" applyBorder="1"/>
    <xf numFmtId="0" fontId="1" fillId="7" borderId="15" xfId="0" applyFont="1" applyFill="1" applyBorder="1"/>
    <xf numFmtId="0" fontId="1" fillId="8" borderId="14" xfId="0" applyFont="1" applyFill="1" applyBorder="1"/>
    <xf numFmtId="0" fontId="1" fillId="8" borderId="13" xfId="0" applyFont="1" applyFill="1" applyBorder="1"/>
    <xf numFmtId="0" fontId="1" fillId="9" borderId="13" xfId="0" applyFont="1" applyFill="1" applyBorder="1"/>
    <xf numFmtId="0" fontId="1" fillId="10" borderId="13" xfId="0" applyFont="1" applyFill="1" applyBorder="1"/>
    <xf numFmtId="0" fontId="1" fillId="4" borderId="13" xfId="0" applyFont="1" applyFill="1" applyBorder="1"/>
    <xf numFmtId="0" fontId="1" fillId="5" borderId="14" xfId="0" applyFont="1" applyFill="1" applyBorder="1"/>
    <xf numFmtId="0" fontId="1" fillId="7" borderId="13" xfId="0" applyFont="1" applyFill="1" applyBorder="1"/>
    <xf numFmtId="0" fontId="1" fillId="5" borderId="13" xfId="0" applyFont="1" applyFill="1" applyBorder="1"/>
    <xf numFmtId="0" fontId="1" fillId="7" borderId="7" xfId="0" applyFont="1" applyFill="1" applyBorder="1"/>
    <xf numFmtId="0" fontId="1" fillId="8" borderId="7" xfId="0" applyFont="1" applyFill="1" applyBorder="1"/>
    <xf numFmtId="0" fontId="1" fillId="9" borderId="7" xfId="0" applyFont="1" applyFill="1" applyBorder="1"/>
    <xf numFmtId="0" fontId="1" fillId="10" borderId="7" xfId="0" applyFont="1" applyFill="1" applyBorder="1"/>
    <xf numFmtId="0" fontId="2" fillId="5" borderId="3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19" xfId="0" applyFont="1" applyFill="1" applyBorder="1"/>
    <xf numFmtId="0" fontId="2" fillId="0" borderId="1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" xfId="0" applyFont="1" applyBorder="1"/>
    <xf numFmtId="0" fontId="1" fillId="3" borderId="10" xfId="0" applyFont="1" applyFill="1" applyBorder="1"/>
    <xf numFmtId="177" fontId="1" fillId="0" borderId="10" xfId="1" applyNumberFormat="1" applyFont="1" applyBorder="1"/>
    <xf numFmtId="177" fontId="1" fillId="0" borderId="9" xfId="0" applyNumberFormat="1" applyFont="1" applyBorder="1"/>
    <xf numFmtId="177" fontId="1" fillId="0" borderId="10" xfId="0" applyNumberFormat="1" applyFont="1" applyBorder="1"/>
    <xf numFmtId="0" fontId="1" fillId="3" borderId="13" xfId="0" applyFont="1" applyFill="1" applyBorder="1"/>
    <xf numFmtId="177" fontId="1" fillId="0" borderId="18" xfId="0" applyNumberFormat="1" applyFont="1" applyBorder="1"/>
    <xf numFmtId="0" fontId="1" fillId="5" borderId="19" xfId="0" applyFont="1" applyFill="1" applyBorder="1"/>
    <xf numFmtId="0" fontId="1" fillId="3" borderId="19" xfId="0" applyFont="1" applyFill="1" applyBorder="1"/>
    <xf numFmtId="0" fontId="5" fillId="0" borderId="3" xfId="0" applyFont="1" applyBorder="1"/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5" xfId="0" applyFont="1" applyBorder="1"/>
    <xf numFmtId="177" fontId="1" fillId="0" borderId="30" xfId="0" applyNumberFormat="1" applyFont="1" applyBorder="1"/>
    <xf numFmtId="0" fontId="1" fillId="11" borderId="13" xfId="0" applyFont="1" applyFill="1" applyBorder="1" applyAlignment="1">
      <alignment horizontal="left"/>
    </xf>
    <xf numFmtId="0" fontId="1" fillId="11" borderId="17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77" fontId="1" fillId="0" borderId="31" xfId="0" applyNumberFormat="1" applyFont="1" applyBorder="1"/>
    <xf numFmtId="0" fontId="2" fillId="0" borderId="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27" xfId="0" applyFont="1" applyBorder="1"/>
    <xf numFmtId="0" fontId="1" fillId="0" borderId="28" xfId="0" applyFont="1" applyBorder="1" applyAlignment="1">
      <alignment horizontal="center" wrapText="1"/>
    </xf>
    <xf numFmtId="0" fontId="1" fillId="0" borderId="32" xfId="0" applyFont="1" applyBorder="1"/>
    <xf numFmtId="0" fontId="1" fillId="0" borderId="17" xfId="0" applyFont="1" applyBorder="1"/>
    <xf numFmtId="0" fontId="2" fillId="0" borderId="29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177" fontId="1" fillId="0" borderId="33" xfId="0" applyNumberFormat="1" applyFont="1" applyBorder="1"/>
    <xf numFmtId="177" fontId="1" fillId="0" borderId="17" xfId="0" applyNumberFormat="1" applyFont="1" applyBorder="1"/>
    <xf numFmtId="177" fontId="1" fillId="0" borderId="34" xfId="0" applyNumberFormat="1" applyFont="1" applyBorder="1"/>
    <xf numFmtId="0" fontId="1" fillId="0" borderId="34" xfId="0" applyFont="1" applyBorder="1"/>
    <xf numFmtId="177" fontId="1" fillId="0" borderId="32" xfId="0" applyNumberFormat="1" applyFont="1" applyBorder="1"/>
    <xf numFmtId="0" fontId="2" fillId="0" borderId="3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36" xfId="0" applyFont="1" applyBorder="1"/>
    <xf numFmtId="0" fontId="2" fillId="0" borderId="13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4" borderId="15" xfId="0" applyFont="1" applyFill="1" applyBorder="1"/>
    <xf numFmtId="0" fontId="2" fillId="4" borderId="16" xfId="0" applyFont="1" applyFill="1" applyBorder="1"/>
    <xf numFmtId="0" fontId="2" fillId="5" borderId="24" xfId="0" applyFont="1" applyFill="1" applyBorder="1"/>
    <xf numFmtId="0" fontId="2" fillId="5" borderId="15" xfId="0" applyFont="1" applyFill="1" applyBorder="1"/>
    <xf numFmtId="0" fontId="2" fillId="6" borderId="24" xfId="0" applyFont="1" applyFill="1" applyBorder="1"/>
    <xf numFmtId="0" fontId="2" fillId="6" borderId="16" xfId="0" applyFont="1" applyFill="1" applyBorder="1"/>
    <xf numFmtId="0" fontId="2" fillId="5" borderId="16" xfId="0" applyFont="1" applyFill="1" applyBorder="1"/>
    <xf numFmtId="0" fontId="2" fillId="7" borderId="15" xfId="0" applyFont="1" applyFill="1" applyBorder="1"/>
    <xf numFmtId="0" fontId="2" fillId="8" borderId="14" xfId="0" applyFont="1" applyFill="1" applyBorder="1"/>
    <xf numFmtId="0" fontId="2" fillId="8" borderId="13" xfId="0" applyFont="1" applyFill="1" applyBorder="1"/>
    <xf numFmtId="0" fontId="2" fillId="9" borderId="13" xfId="0" applyFont="1" applyFill="1" applyBorder="1"/>
    <xf numFmtId="0" fontId="2" fillId="10" borderId="13" xfId="0" applyFont="1" applyFill="1" applyBorder="1"/>
    <xf numFmtId="0" fontId="2" fillId="4" borderId="13" xfId="0" applyFont="1" applyFill="1" applyBorder="1"/>
    <xf numFmtId="0" fontId="2" fillId="5" borderId="14" xfId="0" applyFont="1" applyFill="1" applyBorder="1"/>
    <xf numFmtId="0" fontId="2" fillId="3" borderId="10" xfId="0" applyFont="1" applyFill="1" applyBorder="1"/>
    <xf numFmtId="177" fontId="1" fillId="3" borderId="19" xfId="0" applyNumberFormat="1" applyFont="1" applyFill="1" applyBorder="1"/>
    <xf numFmtId="177" fontId="2" fillId="0" borderId="10" xfId="0" applyNumberFormat="1" applyFont="1" applyBorder="1"/>
    <xf numFmtId="177" fontId="2" fillId="0" borderId="9" xfId="0" applyNumberFormat="1" applyFont="1" applyBorder="1"/>
    <xf numFmtId="0" fontId="1" fillId="3" borderId="2" xfId="0" applyFont="1" applyFill="1" applyBorder="1"/>
    <xf numFmtId="0" fontId="1" fillId="0" borderId="37" xfId="0" applyFont="1" applyBorder="1"/>
    <xf numFmtId="0" fontId="1" fillId="3" borderId="25" xfId="0" applyFont="1" applyFill="1" applyBorder="1"/>
    <xf numFmtId="0" fontId="1" fillId="12" borderId="17" xfId="0" applyFont="1" applyFill="1" applyBorder="1" applyAlignment="1">
      <alignment horizontal="left"/>
    </xf>
    <xf numFmtId="0" fontId="7" fillId="0" borderId="0" xfId="0" applyFont="1"/>
    <xf numFmtId="0" fontId="1" fillId="0" borderId="30" xfId="0" applyFont="1" applyBorder="1"/>
    <xf numFmtId="0" fontId="1" fillId="0" borderId="30" xfId="0" applyFont="1" applyBorder="1" applyAlignment="1">
      <alignment horizontal="left"/>
    </xf>
    <xf numFmtId="0" fontId="1" fillId="2" borderId="38" xfId="0" applyFont="1" applyFill="1" applyBorder="1"/>
    <xf numFmtId="0" fontId="1" fillId="2" borderId="39" xfId="0" applyFont="1" applyFill="1" applyBorder="1"/>
    <xf numFmtId="0" fontId="1" fillId="3" borderId="38" xfId="0" applyFont="1" applyFill="1" applyBorder="1"/>
    <xf numFmtId="0" fontId="1" fillId="3" borderId="39" xfId="0" applyFont="1" applyFill="1" applyBorder="1"/>
    <xf numFmtId="0" fontId="2" fillId="0" borderId="2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4" borderId="38" xfId="0" applyFont="1" applyFill="1" applyBorder="1"/>
    <xf numFmtId="0" fontId="1" fillId="4" borderId="39" xfId="0" applyFont="1" applyFill="1" applyBorder="1"/>
    <xf numFmtId="0" fontId="1" fillId="5" borderId="40" xfId="0" applyFont="1" applyFill="1" applyBorder="1"/>
    <xf numFmtId="0" fontId="1" fillId="5" borderId="38" xfId="0" applyFont="1" applyFill="1" applyBorder="1"/>
    <xf numFmtId="0" fontId="1" fillId="6" borderId="40" xfId="0" applyFont="1" applyFill="1" applyBorder="1"/>
    <xf numFmtId="0" fontId="1" fillId="6" borderId="39" xfId="0" applyFont="1" applyFill="1" applyBorder="1"/>
    <xf numFmtId="0" fontId="1" fillId="5" borderId="39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30" xfId="0" applyFont="1" applyFill="1" applyBorder="1"/>
    <xf numFmtId="0" fontId="1" fillId="8" borderId="30" xfId="0" applyFont="1" applyFill="1" applyBorder="1"/>
    <xf numFmtId="0" fontId="1" fillId="9" borderId="30" xfId="0" applyFont="1" applyFill="1" applyBorder="1"/>
    <xf numFmtId="0" fontId="1" fillId="10" borderId="30" xfId="0" applyFont="1" applyFill="1" applyBorder="1"/>
    <xf numFmtId="0" fontId="1" fillId="4" borderId="30" xfId="0" applyFont="1" applyFill="1" applyBorder="1"/>
    <xf numFmtId="0" fontId="1" fillId="5" borderId="30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4" xfId="0" applyFont="1" applyFill="1" applyBorder="1"/>
    <xf numFmtId="0" fontId="1" fillId="3" borderId="30" xfId="0" applyFont="1" applyFill="1" applyBorder="1"/>
    <xf numFmtId="177" fontId="1" fillId="0" borderId="31" xfId="1" applyNumberFormat="1" applyFont="1" applyBorder="1"/>
    <xf numFmtId="177" fontId="1" fillId="0" borderId="41" xfId="0" applyNumberFormat="1" applyFont="1" applyBorder="1"/>
    <xf numFmtId="0" fontId="1" fillId="5" borderId="2" xfId="0" applyFont="1" applyFill="1" applyBorder="1"/>
    <xf numFmtId="177" fontId="1" fillId="3" borderId="2" xfId="0" applyNumberFormat="1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wrapText="1"/>
    </xf>
    <xf numFmtId="0" fontId="8" fillId="0" borderId="14" xfId="0" applyFont="1" applyBorder="1"/>
    <xf numFmtId="0" fontId="8" fillId="2" borderId="15" xfId="0" applyFont="1" applyFill="1" applyBorder="1"/>
    <xf numFmtId="0" fontId="8" fillId="2" borderId="16" xfId="0" applyFont="1" applyFill="1" applyBorder="1"/>
    <xf numFmtId="0" fontId="8" fillId="3" borderId="15" xfId="0" applyFont="1" applyFill="1" applyBorder="1"/>
    <xf numFmtId="0" fontId="8" fillId="3" borderId="16" xfId="0" applyFont="1" applyFill="1" applyBorder="1"/>
    <xf numFmtId="0" fontId="8" fillId="4" borderId="15" xfId="0" applyFont="1" applyFill="1" applyBorder="1"/>
    <xf numFmtId="0" fontId="8" fillId="4" borderId="16" xfId="0" applyFont="1" applyFill="1" applyBorder="1"/>
    <xf numFmtId="0" fontId="8" fillId="5" borderId="24" xfId="0" applyFont="1" applyFill="1" applyBorder="1"/>
    <xf numFmtId="0" fontId="8" fillId="5" borderId="15" xfId="0" applyFont="1" applyFill="1" applyBorder="1"/>
    <xf numFmtId="0" fontId="8" fillId="6" borderId="24" xfId="0" applyFont="1" applyFill="1" applyBorder="1"/>
    <xf numFmtId="0" fontId="8" fillId="6" borderId="16" xfId="0" applyFont="1" applyFill="1" applyBorder="1"/>
    <xf numFmtId="0" fontId="8" fillId="5" borderId="16" xfId="0" applyFont="1" applyFill="1" applyBorder="1"/>
    <xf numFmtId="0" fontId="8" fillId="7" borderId="15" xfId="0" applyFont="1" applyFill="1" applyBorder="1"/>
    <xf numFmtId="0" fontId="8" fillId="8" borderId="14" xfId="0" applyFont="1" applyFill="1" applyBorder="1"/>
    <xf numFmtId="0" fontId="8" fillId="8" borderId="13" xfId="0" applyFont="1" applyFill="1" applyBorder="1"/>
    <xf numFmtId="0" fontId="8" fillId="9" borderId="13" xfId="0" applyFont="1" applyFill="1" applyBorder="1"/>
    <xf numFmtId="0" fontId="8" fillId="10" borderId="13" xfId="0" applyFont="1" applyFill="1" applyBorder="1"/>
    <xf numFmtId="0" fontId="8" fillId="4" borderId="13" xfId="0" applyFont="1" applyFill="1" applyBorder="1"/>
    <xf numFmtId="0" fontId="8" fillId="5" borderId="14" xfId="0" applyFont="1" applyFill="1" applyBorder="1"/>
    <xf numFmtId="0" fontId="8" fillId="3" borderId="10" xfId="0" applyFont="1" applyFill="1" applyBorder="1"/>
    <xf numFmtId="0" fontId="1" fillId="0" borderId="35" xfId="0" applyFont="1" applyBorder="1"/>
    <xf numFmtId="0" fontId="5" fillId="0" borderId="13" xfId="0" applyFont="1" applyBorder="1" applyAlignment="1">
      <alignment horizontal="left"/>
    </xf>
    <xf numFmtId="0" fontId="2" fillId="0" borderId="42" xfId="0" applyFont="1" applyBorder="1" applyAlignment="1">
      <alignment horizontal="center" vertical="center" wrapText="1"/>
    </xf>
    <xf numFmtId="0" fontId="1" fillId="0" borderId="33" xfId="0" applyFont="1" applyBorder="1"/>
    <xf numFmtId="0" fontId="1" fillId="12" borderId="0" xfId="0" applyFont="1" applyFill="1"/>
    <xf numFmtId="0" fontId="1" fillId="0" borderId="43" xfId="0" applyFont="1" applyBorder="1" applyAlignment="1">
      <alignment horizontal="left"/>
    </xf>
    <xf numFmtId="0" fontId="1" fillId="0" borderId="29" xfId="0" applyFont="1" applyBorder="1"/>
    <xf numFmtId="0" fontId="1" fillId="2" borderId="44" xfId="0" applyFont="1" applyFill="1" applyBorder="1"/>
    <xf numFmtId="0" fontId="1" fillId="2" borderId="45" xfId="0" applyFont="1" applyFill="1" applyBorder="1"/>
    <xf numFmtId="0" fontId="1" fillId="3" borderId="44" xfId="0" applyFont="1" applyFill="1" applyBorder="1"/>
    <xf numFmtId="0" fontId="1" fillId="3" borderId="45" xfId="0" applyFont="1" applyFill="1" applyBorder="1"/>
    <xf numFmtId="0" fontId="2" fillId="12" borderId="0" xfId="0" applyFont="1" applyFill="1"/>
    <xf numFmtId="0" fontId="1" fillId="12" borderId="0" xfId="0" applyFont="1" applyFill="1" applyAlignment="1">
      <alignment horizontal="left"/>
    </xf>
    <xf numFmtId="0" fontId="5" fillId="0" borderId="4" xfId="0" applyFont="1" applyBorder="1"/>
    <xf numFmtId="0" fontId="6" fillId="0" borderId="46" xfId="0" applyFont="1" applyBorder="1" applyAlignment="1">
      <alignment horizontal="center"/>
    </xf>
    <xf numFmtId="0" fontId="1" fillId="4" borderId="44" xfId="0" applyFont="1" applyFill="1" applyBorder="1"/>
    <xf numFmtId="0" fontId="1" fillId="4" borderId="45" xfId="0" applyFont="1" applyFill="1" applyBorder="1"/>
    <xf numFmtId="0" fontId="1" fillId="5" borderId="47" xfId="0" applyFont="1" applyFill="1" applyBorder="1"/>
    <xf numFmtId="0" fontId="1" fillId="5" borderId="44" xfId="0" applyFont="1" applyFill="1" applyBorder="1"/>
    <xf numFmtId="0" fontId="1" fillId="6" borderId="47" xfId="0" applyFont="1" applyFill="1" applyBorder="1"/>
    <xf numFmtId="0" fontId="1" fillId="6" borderId="45" xfId="0" applyFont="1" applyFill="1" applyBorder="1"/>
    <xf numFmtId="0" fontId="1" fillId="5" borderId="45" xfId="0" applyFont="1" applyFill="1" applyBorder="1"/>
    <xf numFmtId="0" fontId="1" fillId="7" borderId="44" xfId="0" applyFont="1" applyFill="1" applyBorder="1"/>
    <xf numFmtId="0" fontId="1" fillId="8" borderId="29" xfId="0" applyFont="1" applyFill="1" applyBorder="1"/>
    <xf numFmtId="0" fontId="1" fillId="8" borderId="28" xfId="0" applyFont="1" applyFill="1" applyBorder="1"/>
    <xf numFmtId="0" fontId="1" fillId="9" borderId="28" xfId="0" applyFont="1" applyFill="1" applyBorder="1"/>
    <xf numFmtId="0" fontId="1" fillId="10" borderId="28" xfId="0" applyFont="1" applyFill="1" applyBorder="1"/>
    <xf numFmtId="0" fontId="1" fillId="4" borderId="28" xfId="0" applyFont="1" applyFill="1" applyBorder="1"/>
    <xf numFmtId="0" fontId="1" fillId="5" borderId="29" xfId="0" applyFont="1" applyFill="1" applyBorder="1"/>
    <xf numFmtId="0" fontId="1" fillId="3" borderId="31" xfId="0" applyFont="1" applyFill="1" applyBorder="1"/>
    <xf numFmtId="0" fontId="1" fillId="3" borderId="23" xfId="0" applyFont="1" applyFill="1" applyBorder="1"/>
    <xf numFmtId="177" fontId="1" fillId="0" borderId="17" xfId="1" applyNumberFormat="1" applyFont="1" applyBorder="1"/>
    <xf numFmtId="177" fontId="1" fillId="0" borderId="48" xfId="0" applyNumberFormat="1" applyFont="1" applyBorder="1"/>
    <xf numFmtId="177" fontId="1" fillId="0" borderId="49" xfId="0" applyNumberFormat="1" applyFont="1" applyBorder="1"/>
    <xf numFmtId="0" fontId="5" fillId="0" borderId="5" xfId="0" applyFont="1" applyBorder="1"/>
    <xf numFmtId="0" fontId="1" fillId="3" borderId="6" xfId="0" applyFont="1" applyFill="1" applyBorder="1"/>
    <xf numFmtId="177" fontId="1" fillId="12" borderId="0" xfId="0" applyNumberFormat="1" applyFont="1" applyFill="1"/>
    <xf numFmtId="0" fontId="9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0" applyFont="1" applyBorder="1"/>
    <xf numFmtId="0" fontId="0" fillId="0" borderId="17" xfId="0" applyBorder="1" applyAlignment="1">
      <alignment horizontal="center"/>
    </xf>
    <xf numFmtId="0" fontId="11" fillId="0" borderId="17" xfId="0" applyFont="1" applyBorder="1"/>
    <xf numFmtId="177" fontId="10" fillId="0" borderId="17" xfId="1" applyNumberFormat="1" applyFont="1" applyBorder="1"/>
    <xf numFmtId="43" fontId="10" fillId="0" borderId="17" xfId="1" applyFont="1" applyBorder="1"/>
    <xf numFmtId="177" fontId="10" fillId="0" borderId="17" xfId="0" applyNumberFormat="1" applyFont="1" applyBorder="1"/>
    <xf numFmtId="177" fontId="0" fillId="0" borderId="17" xfId="0" applyNumberFormat="1" applyBorder="1"/>
    <xf numFmtId="177" fontId="0" fillId="0" borderId="0" xfId="0" applyNumberFormat="1"/>
    <xf numFmtId="0" fontId="0" fillId="0" borderId="17" xfId="0" applyBorder="1"/>
    <xf numFmtId="0" fontId="1" fillId="0" borderId="10" xfId="0" applyFont="1" applyBorder="1" quotePrefix="1"/>
    <xf numFmtId="0" fontId="1" fillId="0" borderId="14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sharedStrings" Target="sharedStrings.xml"/><Relationship Id="rId52" Type="http://schemas.openxmlformats.org/officeDocument/2006/relationships/theme" Target="theme/theme1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4:E16"/>
  <sheetViews>
    <sheetView workbookViewId="0">
      <selection activeCell="G21" sqref="G21"/>
    </sheetView>
  </sheetViews>
  <sheetFormatPr defaultColWidth="9" defaultRowHeight="15" outlineLevelCol="4"/>
  <cols>
    <col min="2" max="2" width="5.85714285714286" customWidth="1"/>
    <col min="3" max="3" width="28.4285714285714" customWidth="1"/>
    <col min="4" max="4" width="26" customWidth="1"/>
    <col min="5" max="5" width="14.1428571428571" customWidth="1"/>
  </cols>
  <sheetData>
    <row r="4" ht="22.5" customHeight="1" spans="2:4">
      <c r="B4" s="290" t="s">
        <v>0</v>
      </c>
      <c r="C4" s="290"/>
      <c r="D4" s="290"/>
    </row>
    <row r="5" ht="24.6" customHeight="1" spans="2:4">
      <c r="B5" s="291" t="s">
        <v>1</v>
      </c>
      <c r="C5" s="292" t="s">
        <v>2</v>
      </c>
      <c r="D5" s="292" t="s">
        <v>3</v>
      </c>
    </row>
    <row r="6" ht="24.6" customHeight="1" spans="2:4">
      <c r="B6" s="293">
        <v>1</v>
      </c>
      <c r="C6" s="294" t="s">
        <v>4</v>
      </c>
      <c r="D6" s="295">
        <f>'GOD FIRST'!C43+GYASEHENE!C42+ADIEPANA!C43+BAAKOYE!C43+'0'!C43</f>
        <v>68</v>
      </c>
    </row>
    <row r="7" ht="24.6" customHeight="1" spans="2:4">
      <c r="B7" s="293">
        <f>B6+1</f>
        <v>2</v>
      </c>
      <c r="C7" s="294" t="s">
        <v>5</v>
      </c>
      <c r="D7" s="296">
        <f>D8/D6</f>
        <v>11034.6470588235</v>
      </c>
    </row>
    <row r="8" ht="24.6" customHeight="1" spans="2:4">
      <c r="B8" s="293">
        <v>3</v>
      </c>
      <c r="C8" s="294" t="s">
        <v>6</v>
      </c>
      <c r="D8" s="297">
        <f>'1.'!AC42+GYASEHENE!AC42+ADIEPANA!AC43+'1'!AC43+BAAKOYE!AC43+'GOD FIRST'!AC43+'0'!AC43+YAWOWUSUKROM!AC39+'kramokrom 1'!AC43+'SH1'!AC40+ADAMSO.!AC42+'13'!AC42+'12'!AC43+'5'!AC43+'3'!AC43+'4'!AC42+'11'!AC43+'SHEET 18'!AC43+'SHEET 19'!AC43+'SHEET 20'!AC43+'SHEET 21'!AC43+'SHEET 22'!AC43+'SHEET 23'!AC43+'SHEET 24'!AC43+'SHEET 25'!AC43+'SHEET 26'!AC43+'SHEET 27'!AC43+'SHEET 28'!AC43+'SHEET 29'!AC43+'SHEET 30'!AC43+'SHEET 31'!AC43+'SHEET 32'!AC43+'SHEET 33'!AC43+'SHEET 34'!AC43+'SHEET 35'!AC43+'SHEET 36'!AC43+'SHEET 37'!AC43+'SHEET 38'!AC43+'SHEET 39'!AC43+'SHEET 40'!AC43+'SHEET 41'!AC43+'SHEET 42'!AC43+'SHEET 43'!AC43+'SHEET 44'!AC43+'SHEET 45'!AC43+'SHEET 46'!AC43+'SHEET 47'!AC43+'SHEET 48'!AC43+'SHEET 49'!AC43+'SHEET 50'!AC43</f>
        <v>750356</v>
      </c>
    </row>
    <row r="9" ht="24.6" customHeight="1" spans="2:4">
      <c r="B9" s="293">
        <f t="shared" ref="B9" si="0">B8+1</f>
        <v>4</v>
      </c>
      <c r="C9" s="294" t="s">
        <v>7</v>
      </c>
      <c r="D9" s="298">
        <f>'1.'!AD42+GYASEHENE!AD42+ADIEPANA!AD43+'1'!AD43+BAAKOYE!AD43+'GOD FIRST'!AD43+'0'!AD43+YAWOWUSUKROM!AD39+'kramokrom 1'!AD43+'SH1'!AD40+ADAMSO.!AD42+'13'!AD42+'12'!AD43+'5'!AD43+'3'!AD43+'4'!AD42+'11'!AD43+'SHEET 18'!AD43+'SHEET 19'!AD43+'SHEET 20'!AD43+'SHEET 21'!AD43+'SHEET 22'!AD43+'SHEET 23'!AD43+'SHEET 24'!AD43+'SHEET 25'!AD43+'SHEET 26'!AD43+'SHEET 27'!AD43+'SHEET 28'!AD43+'SHEET 29'!AD43+'SHEET 30'!AD43+'SHEET 31'!AD43+'SHEET 32'!AD43+'SHEET 33'!AD43+'SHEET 34'!AD43+'SHEET 35'!AD43+'SHEET 36'!AD43+'SHEET 37'!AD43+'SHEET 38'!AD43+'SHEET 39'!AD43+'SHEET 40'!AD43+'SHEET 41'!AD43+'SHEET 42'!AD43+'SHEET 43'!AD43+'SHEET 44'!AD43+'SHEET 45'!AD43+'SHEET 46'!AD43+'SHEET 47'!AD43+'SHEET 48'!AD43+'SHEET 49'!AD43+'SHEET 50'!AD43</f>
        <v>75035.6</v>
      </c>
    </row>
    <row r="10" ht="24.6" customHeight="1" spans="2:4">
      <c r="B10" s="293">
        <v>5</v>
      </c>
      <c r="C10" s="294" t="s">
        <v>8</v>
      </c>
      <c r="D10" s="297">
        <f>'1.'!AE42+GYASEHENE!AE42+ADIEPANA!AE43+'1'!AE43+BAAKOYE!AE43+'GOD FIRST'!AE43+'0'!AE43+YAWOWUSUKROM!AE39+'kramokrom 1'!AE43+'SH1'!AE40+ADAMSO.!AE42+'13'!AE42+'12'!AE43+'5'!AE43+'3'!AE43+'4'!AE42+'11'!AE43+'SHEET 18'!AE43+'SHEET 19'!AE43+'SHEET 20'!AE43+'SHEET 21'!AE43+'SHEET 22'!AE43+'SHEET 23'!AE43+'SHEET 24'!AE43+'SHEET 25'!AE43+'SHEET 26'!AE43+'SHEET 27'!AE43+'SHEET 28'!AE43+'SHEET 29'!AE43+'SHEET 30'!AE43+'SHEET 31'!AE43+'SHEET 32'!AE43+'SHEET 33'!AE43+'SHEET 34'!AE43+'SHEET 35'!AE43+'SHEET 36'!AE43+'SHEET 37'!AE43+'SHEET 38'!AE43+'SHEET 39'!AE43+'SHEET 40'!AE43+'SHEET 41'!AE43+'SHEET 42'!AE43+'SHEET 43'!AE43+'SHEET 44'!AE43+'SHEET 45'!AE43+'SHEET 46'!AE43+'SHEET 47'!AE43+'SHEET 48'!AE43+'SHEET 49'!AE43+'SHEET 50'!AE43</f>
        <v>675320.4</v>
      </c>
    </row>
    <row r="11" ht="24.6" customHeight="1" spans="2:5">
      <c r="B11" s="293">
        <f t="shared" ref="B11" si="1">B10+1</f>
        <v>6</v>
      </c>
      <c r="C11" s="294" t="s">
        <v>9</v>
      </c>
      <c r="D11" s="297">
        <f>'1.'!AO42+GYASEHENE!AO42+ADIEPANA!AO43+BAAKOYE!AO43+'GOD FIRST'!AO43+'0'!AO43+YAWOWUSUKROM!AO39+'kramokrom 1'!AO43+'SH1'!AO40+ADAMSO.!AO42+'13'!AO42+'12'!AO43+'5'!AO43+'4'!AO42</f>
        <v>48304</v>
      </c>
      <c r="E11" s="299"/>
    </row>
    <row r="13" ht="14.45" customHeight="1" spans="2:4">
      <c r="B13" s="290" t="s">
        <v>10</v>
      </c>
      <c r="C13" s="290"/>
      <c r="D13" s="290"/>
    </row>
    <row r="14" ht="15.75" spans="2:4">
      <c r="B14" s="300">
        <v>8</v>
      </c>
      <c r="C14" s="294" t="s">
        <v>11</v>
      </c>
      <c r="D14" s="298">
        <f>'1.'!AG42+GYASEHENE!AG42+ADIEPANA!AG43+'1'!AF43+BAAKOYE!AG43+'GOD FIRST'!AF43+'0'!AF43+YAWOWUSUKROM!AF39+'kramokrom 1'!AF43+'SH1'!AF40+ADAMSO.!AF42+'13'!AF42+'12'!AF43+'5'!AF43+'3'!AF43+'4'!AG42+'11'!AF43+'SHEET 18'!AF43+'SHEET 19'!AF43+'SHEET 20'!AF43+'SHEET 21'!AF43+'SHEET 22'!AF43+'SHEET 23'!AF43+'SHEET 24'!AF43+'SHEET 25'!AF43+'SHEET 26'!AF43+'SHEET 27'!AF43+'SHEET 28'!AF43+'SHEET 29'!AF43+'SHEET 30'!AF43+'SHEET 31'!AF43+'SHEET 32'!AF43+'SHEET 33'!AF43+'SHEET 34'!AF43+'SHEET 35'!AF43+'SHEET 36'!AF43+'SHEET 37'!AF43+'SHEET 38'!AF43+'SHEET 39'!AF43+'SHEET 40'!AF43+'SHEET 41'!AF43+'SHEET 42'!AF43+'SHEET 43'!AF43+'SHEET 44'!AF43+'SHEET 45'!AF43+'SHEET 46'!AF43+'SHEET 47'!AF43+'SHEET 48'!AF43+'SHEET 49'!AF43+'SHEET 50'!AF43</f>
        <v>0</v>
      </c>
    </row>
    <row r="15" ht="15.75" spans="2:4">
      <c r="B15" s="300">
        <v>9</v>
      </c>
      <c r="C15" s="294" t="s">
        <v>12</v>
      </c>
      <c r="D15" s="298">
        <f>'1.'!AH42+GYASEHENE!AH42+ADIEPANA!AH43+'1'!AG43+BAAKOYE!AH43+'GOD FIRST'!AG43+'0'!AG43+YAWOWUSUKROM!AG39+'kramokrom 1'!AG43+'SH1'!AG40+ADAMSO.!AG42+'13'!AG42+'12'!AG43+'5'!AG43+'3'!AG43+'4'!AH42+'11'!AG43+'SHEET 18'!AG43+'SHEET 19'!AG43+'SHEET 20'!AG43+'SHEET 21'!AG43+'SHEET 22'!AG43+'SHEET 23'!AG43+'SHEET 24'!AG43+'SHEET 25'!AG43+'SHEET 26'!AG43+'SHEET 27'!AG43+'SHEET 28'!AG43+'SHEET 29'!AG43+'SHEET 30'!AG43+'SHEET 31'!AG43+'SHEET 32'!AG43+'SHEET 33'!AG43+'SHEET 34'!AG43+'SHEET 35'!AG43+'SHEET 36'!AG43+'SHEET 37'!AG43+'SHEET 38'!AG43+'SHEET 39'!AG43+'SHEET 40'!AG43+'SHEET 41'!AG43+'SHEET 42'!AG43+'SHEET 43'!AG43+'SHEET 44'!AG43+'SHEET 45'!AG43+'SHEET 46'!AG43+'SHEET 47'!AG43+'SHEET 48'!AG43+'SHEET 49'!AG43+'SHEET 50'!AG43</f>
        <v>0</v>
      </c>
    </row>
    <row r="16" ht="15.75" spans="2:4">
      <c r="B16" s="300">
        <v>10</v>
      </c>
      <c r="C16" s="294" t="s">
        <v>13</v>
      </c>
      <c r="D16" s="298">
        <f>'1.'!AI42+GYASEHENE!AI42+ADIEPANA!AI43+'1'!AH43+BAAKOYE!AI43+'GOD FIRST'!AH43+'0'!AH43+YAWOWUSUKROM!AH39+'kramokrom 1'!AH43+'SH1'!AH40+ADAMSO.!AH42+'13'!AH42+'12'!AH43+'5'!AH43+'3'!AH43+'4'!AI42+'11'!AH43+'SHEET 18'!AH43+'SHEET 19'!AH43+'SHEET 20'!AH43+'SHEET 21'!AH43+'SHEET 22'!AH43+'SHEET 23'!AH43+'SHEET 24'!AH43+'SHEET 25'!AH43+'SHEET 26'!AH43+'SHEET 27'!AH43+'SHEET 28'!AH43+'SHEET 29'!AH43+'SHEET 30'!AH43+'SHEET 31'!AH43+'SHEET 32'!AH43+'SHEET 33'!AH43+'SHEET 34'!AH43+'SHEET 35'!AH43+'SHEET 36'!AH43+'SHEET 37'!AH43+'SHEET 38'!AH43+'SHEET 39'!AH43+'SHEET 40'!AH43+'SHEET 41'!AH43+'SHEET 42'!AH43+'SHEET 43'!AH43+'SHEET 44'!AH43+'SHEET 45'!AH43+'SHEET 46'!AH43+'SHEET 47'!AH43+'SHEET 48'!AH43+'SHEET 49'!AH43+'SHEET 50'!AH43</f>
        <v>0</v>
      </c>
    </row>
  </sheetData>
  <mergeCells count="2">
    <mergeCell ref="B4:D4"/>
    <mergeCell ref="B13:D1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2:AP45"/>
  <sheetViews>
    <sheetView showGridLines="0" topLeftCell="A8" workbookViewId="0">
      <pane xSplit="3" ySplit="4" topLeftCell="Z26" activePane="bottomRight" state="frozen"/>
      <selection/>
      <selection pane="topRight"/>
      <selection pane="bottomLeft"/>
      <selection pane="bottomRight" activeCell="AE39" sqref="AE39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7.2857142857143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2" width="15.4285714285714" style="1" customWidth="1"/>
    <col min="33" max="33" width="11.8571428571429" style="1" customWidth="1"/>
    <col min="34" max="34" width="11.7142857142857" style="1" customWidth="1"/>
    <col min="35" max="35" width="10.8571428571429" style="1" customWidth="1"/>
    <col min="36" max="40" width="9.14285714285714" style="1"/>
    <col min="41" max="41" width="11.7142857142857" style="1" customWidth="1"/>
    <col min="42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 t="s">
        <v>20</v>
      </c>
      <c r="E8" s="6"/>
      <c r="F8" s="6"/>
      <c r="G8" s="6"/>
    </row>
    <row r="9" ht="6.95" customHeight="1"/>
    <row r="10" ht="33.7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39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253"/>
      <c r="AP10" s="145"/>
    </row>
    <row r="11" ht="26.2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55</v>
      </c>
      <c r="AG11" s="114" t="s">
        <v>56</v>
      </c>
      <c r="AH11" s="114"/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8" t="s">
        <v>58</v>
      </c>
      <c r="AP11" s="149" t="s">
        <v>59</v>
      </c>
    </row>
    <row r="12" spans="2:42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(E12*E45)+(F12*F45)+(G12*G45)+(H12*H45)+(I12*I45)+(J12*J45)+(K12*K45)+(L12*L45)+(M12*M45)+(N12*N45)+(O12*O45)+(P12*P45)+(Q12*Q45)+(R12*R45)+(S12*S45)+(T12*T45)+(U12*U45)+(V12*V45)+(W12*W45)+(X12*X45)+(Y12*Y45)+(Z12*Z45)+(AA12*AA45)+(AB12*AB45)</f>
        <v>0</v>
      </c>
      <c r="AD12" s="120">
        <f>10%*AC12</f>
        <v>0</v>
      </c>
      <c r="AE12" s="121">
        <f>AC12-AD12</f>
        <v>0</v>
      </c>
      <c r="AF12" s="121"/>
      <c r="AG12" s="121"/>
      <c r="AH12" s="121"/>
      <c r="AI12" s="121"/>
      <c r="AJ12" s="121"/>
      <c r="AK12" s="121"/>
      <c r="AL12" s="121">
        <f t="shared" ref="AL12:AL38" si="0">AE12/3</f>
        <v>0</v>
      </c>
      <c r="AM12" s="120">
        <f>AL12</f>
        <v>0</v>
      </c>
      <c r="AN12" s="121">
        <f>AM12</f>
        <v>0</v>
      </c>
      <c r="AO12" s="150">
        <f>AD12+AF12+AG12+AH12+AI12+AJ12+AK12</f>
        <v>0</v>
      </c>
      <c r="AP12" s="151">
        <f>AC12-AO12</f>
        <v>0</v>
      </c>
    </row>
    <row r="13" spans="2:42">
      <c r="B13" s="18"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(E13*E45)+(F13*F45)+(G13*G45)+(H13*H45)+(I13*I45)+(J13*J45)+(K13*K45)+(L13*L45)+(M13*M45)+(N13*N45)+(O13*O45)+(P13*P45)+(Q13*Q45)+(R13*R45)+(S13*S45)+(T13*T45)+(U13*U45)+(V13*V45)+(W13*W45)+(X13*X45)+(Y13*Y45)+(Z13*Z45)+(AA13*AA45)+(AB13*AB45)</f>
        <v>0</v>
      </c>
      <c r="AD13" s="120">
        <f t="shared" ref="AD13:AD38" si="1">10%*AC13</f>
        <v>0</v>
      </c>
      <c r="AE13" s="121">
        <f t="shared" ref="AE13:AE38" si="2">AC13-AD13</f>
        <v>0</v>
      </c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 t="shared" ref="AM13:AN27" si="3">AL13</f>
        <v>0</v>
      </c>
      <c r="AN13" s="121">
        <f t="shared" si="3"/>
        <v>0</v>
      </c>
      <c r="AO13" s="150">
        <f t="shared" ref="AO13:AO18" si="4">AD13+AF13+AG13+AH13+AI13+AJ13+AK13</f>
        <v>0</v>
      </c>
      <c r="AP13" s="151">
        <f t="shared" ref="AP13:AP19" si="5">AC13-AO13</f>
        <v>0</v>
      </c>
    </row>
    <row r="14" spans="2:42">
      <c r="B14" s="25">
        <f t="shared" ref="B14:B41" si="6">B13+1</f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(E14*E45)+(F14*F45)+(G14*G45)+(H14*H45)+(I14*I45)+(J14*J49)+(K14*K45)+(L14*L45)+(M14*M45)+(N14*N45)+(O14*O45)+(P14*P45)+(Q14*Q45)+(R14*R45)+(S14*S45)+(T14*T45)+(U14*U45)+(V14*V45)+(W14*W45)+(X14*X45)+(Y14*Y45)+(Z14*Z45)+(AA14*AA45)+(AB14*AB45)</f>
        <v>0</v>
      </c>
      <c r="AD14" s="120">
        <f t="shared" si="1"/>
        <v>0</v>
      </c>
      <c r="AE14" s="121">
        <f t="shared" si="2"/>
        <v>0</v>
      </c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3"/>
        <v>0</v>
      </c>
      <c r="AN14" s="121">
        <f t="shared" si="3"/>
        <v>0</v>
      </c>
      <c r="AO14" s="150">
        <f t="shared" si="4"/>
        <v>0</v>
      </c>
      <c r="AP14" s="151">
        <f t="shared" si="5"/>
        <v>0</v>
      </c>
    </row>
    <row r="15" spans="2:42">
      <c r="B15" s="18">
        <f t="shared" si="6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(E15*E45)+(F15*F45)+(G15*G45)+(H15*H45)+(I15*I45)+(J15*J45)+(K15*K45)+(L15*L45)+(M15*M45)+(N15*N45)+(O15*O45)+(P15*P45)+(Q15*Q45)+(R15*R45)+(S15*S45)+(T15*T45)+(U15*U45)+(V15*V45)+(W15*W45)+(X15*X45)+(Y15*Y45)+(Z15*Z45)+(AA15*AA45)+(AB15*AB45)</f>
        <v>0</v>
      </c>
      <c r="AD15" s="120">
        <f t="shared" si="1"/>
        <v>0</v>
      </c>
      <c r="AE15" s="121">
        <f t="shared" si="2"/>
        <v>0</v>
      </c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3"/>
        <v>0</v>
      </c>
      <c r="AN15" s="121">
        <f t="shared" si="3"/>
        <v>0</v>
      </c>
      <c r="AO15" s="150">
        <f t="shared" si="4"/>
        <v>0</v>
      </c>
      <c r="AP15" s="151">
        <f t="shared" si="5"/>
        <v>0</v>
      </c>
    </row>
    <row r="16" spans="2:42">
      <c r="B16" s="25">
        <f t="shared" si="6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(E16*E45)+(F16*F45)+(G16*G45)+(H16*H45)+(I16*I45)+(J16*J45)+(K16*K45)+(L16*L45)+(M16*M45)+(N16*N45)+(O16*O45)+(P16*P45)+(Q16*Q45)+(R16*R45)+(S16*S45)+(T16*T45)+(U16*U45)+(V16*V45)+(W16*W45)+(X16*X45)+(Y16*Y45)+(Z16*Z45)+(AA16*AA45)+(AB16*AB45)</f>
        <v>0</v>
      </c>
      <c r="AD16" s="120">
        <f t="shared" si="1"/>
        <v>0</v>
      </c>
      <c r="AE16" s="121">
        <f t="shared" si="2"/>
        <v>0</v>
      </c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3"/>
        <v>0</v>
      </c>
      <c r="AN16" s="121">
        <f t="shared" si="3"/>
        <v>0</v>
      </c>
      <c r="AO16" s="150">
        <f t="shared" si="4"/>
        <v>0</v>
      </c>
      <c r="AP16" s="151">
        <f t="shared" si="5"/>
        <v>0</v>
      </c>
    </row>
    <row r="17" spans="2:42">
      <c r="B17" s="18">
        <f t="shared" si="6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(E17*E45)+(F17*F45)+(G17*G45)+(H17*H45)+(I17*I45)+(J17*J45)+(K17*K45)+(L17*L45)+(M17*M45)+(N17*N45)+(O17*O45)+(P17*P45)+(Q17*Q45)+(R17*R45)+(S17*S45)+(T17*T45)+(U17*U45)+(V17*V45)+(W17*W45)+(X17*X45)+(Y17*Y45)+(Z17*Z45)+(AA17*AA45)+(AB17*AB45)</f>
        <v>0</v>
      </c>
      <c r="AD17" s="120">
        <f t="shared" si="1"/>
        <v>0</v>
      </c>
      <c r="AE17" s="121">
        <f t="shared" si="2"/>
        <v>0</v>
      </c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>AL17</f>
        <v>0</v>
      </c>
      <c r="AN17" s="121">
        <f t="shared" si="3"/>
        <v>0</v>
      </c>
      <c r="AO17" s="150">
        <f t="shared" si="4"/>
        <v>0</v>
      </c>
      <c r="AP17" s="151">
        <f t="shared" si="5"/>
        <v>0</v>
      </c>
    </row>
    <row r="18" spans="2:42">
      <c r="B18" s="25">
        <f t="shared" si="6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(E18*E45)+(F18*F45)+(G18*G45)+(H18*H45)+(I18*I45)+(J18*J45)+(K18*K45)+(L18*L45)+(M18*M45)+(N18*N45)+(O18*O45)+(P18*P45)+(Q18*Q45)+(R18*R45)+(S18*S45)+(T18*T45)+(U18*U45)+(V18*V45)+(W18*W45)+(X18*X45)+(Y18*Y45)+(Z18*Z45)+(AA18*AA45)+(AB18*AB45)</f>
        <v>0</v>
      </c>
      <c r="AD18" s="120">
        <f t="shared" si="1"/>
        <v>0</v>
      </c>
      <c r="AE18" s="121">
        <f t="shared" si="2"/>
        <v>0</v>
      </c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 t="shared" si="3"/>
        <v>0</v>
      </c>
      <c r="AN18" s="121">
        <f t="shared" si="3"/>
        <v>0</v>
      </c>
      <c r="AO18" s="152">
        <f t="shared" si="4"/>
        <v>0</v>
      </c>
      <c r="AP18" s="151">
        <f t="shared" si="5"/>
        <v>0</v>
      </c>
    </row>
    <row r="19" spans="2:42">
      <c r="B19" s="18">
        <f t="shared" si="6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(E19*E45)+(F19*F45)+(G19*G45)+(H19*H45)+(I19*I45)+(J19*J45)+(K19*K45)+(L19*L45)+(M19*M45)+(N19*N45)+(O19*O45)+(P19*P45)+(Q19*Q45)+(R19*R45)+(S19*S45)+(T19*T45)+(U19*U45)+(V19*V45)+(W19*W45)+(X19*X45)+(Y19*Y45)+(Z19*Z45)+(AA19*AA45)+(AB19*AB45)</f>
        <v>0</v>
      </c>
      <c r="AD19" s="120">
        <f t="shared" si="1"/>
        <v>0</v>
      </c>
      <c r="AE19" s="121">
        <f t="shared" si="2"/>
        <v>0</v>
      </c>
      <c r="AF19" s="121"/>
      <c r="AG19" s="121"/>
      <c r="AH19" s="121"/>
      <c r="AI19" s="121"/>
      <c r="AJ19" s="121"/>
      <c r="AK19" s="121"/>
      <c r="AL19" s="121">
        <f t="shared" si="0"/>
        <v>0</v>
      </c>
      <c r="AM19" s="120">
        <f t="shared" si="3"/>
        <v>0</v>
      </c>
      <c r="AN19" s="121">
        <f t="shared" si="3"/>
        <v>0</v>
      </c>
      <c r="AO19" s="152"/>
      <c r="AP19" s="151">
        <f t="shared" si="5"/>
        <v>0</v>
      </c>
    </row>
    <row r="20" spans="2:42">
      <c r="B20" s="25">
        <f t="shared" si="6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(E20*E45)+(F20*F45)+(G20*G45)+(H20*H45)+(I20*I45)+(J20*J45)+(K20*K45)+(L20*L45)+(M20*M45)+(N20*N45)+(O20*O45)+(P20*P45)+(Q20*Q45)+(R20*R45)+(S20*S45)+(T20*T45)+(U20*U45)+(V20*V45)+(W20*W45)+(X20*X45)+(Y20*Y45)+(Z20*Z45)+(AA20*AA45)+(AB20*AB45)</f>
        <v>0</v>
      </c>
      <c r="AD20" s="120">
        <f t="shared" si="1"/>
        <v>0</v>
      </c>
      <c r="AE20" s="121">
        <f t="shared" si="2"/>
        <v>0</v>
      </c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3"/>
        <v>0</v>
      </c>
      <c r="AN20" s="121">
        <f t="shared" si="3"/>
        <v>0</v>
      </c>
      <c r="AO20" s="152">
        <f t="shared" ref="AO20" si="7">AD20+AF20+AG20+AH20+AI20+AJ20+AK20</f>
        <v>0</v>
      </c>
      <c r="AP20" s="151">
        <f t="shared" ref="AP20" si="8">AC20-AO20</f>
        <v>0</v>
      </c>
    </row>
    <row r="21" spans="1:42">
      <c r="A21" s="1" t="s">
        <v>60</v>
      </c>
      <c r="B21" s="18">
        <f t="shared" si="6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(E21*E45)+(F21*F45)+(G21*G45)+(H21*H45)+(I21*I45)+(J21*J45)+(K21*K45)+(L21*L45)+(M21*M45)+(N21*N45)+(O21*O45)+(P21*P45)+(Q21*Q45)+(R21*R45)+(S21*S45)+(T21*T45)+(U21*U45)+(V21*V45)+(W21*W45)+(X21*X45)+(Y21*Y45)+(Z21*Z45)+(AA21*AA45)+(AB21*AB45)</f>
        <v>0</v>
      </c>
      <c r="AD21" s="120">
        <f t="shared" si="1"/>
        <v>0</v>
      </c>
      <c r="AE21" s="121">
        <f t="shared" si="2"/>
        <v>0</v>
      </c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3"/>
        <v>0</v>
      </c>
      <c r="AN21" s="121">
        <f t="shared" si="3"/>
        <v>0</v>
      </c>
      <c r="AO21" s="153"/>
      <c r="AP21" s="145"/>
    </row>
    <row r="22" spans="2:42">
      <c r="B22" s="25">
        <f t="shared" si="6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(E22*E45)+(F22*F45)+(G22*G45)+(H22*H45)+(I22*I45)+(J22*J45)+(K22*J45)+(L22*L45)+(M22*M45)+(N22*N45)+(O22*O45)+(P22*P45)+(Q22*Q45)+(R22*R45)+(S22*S45)+(T22*T45)+(U22*U45)+(V22*V45)+(W22*W45)+(X22*X45)+(Y22*Y45)+(Z22*Z45)+(AA22*AA45)+(AB22*AB45)</f>
        <v>0</v>
      </c>
      <c r="AD22" s="120">
        <f t="shared" si="1"/>
        <v>0</v>
      </c>
      <c r="AE22" s="121">
        <f t="shared" si="2"/>
        <v>0</v>
      </c>
      <c r="AF22" s="121"/>
      <c r="AG22" s="121"/>
      <c r="AH22" s="121"/>
      <c r="AI22" s="121"/>
      <c r="AJ22" s="121"/>
      <c r="AK22" s="121"/>
      <c r="AL22" s="121">
        <f t="shared" si="0"/>
        <v>0</v>
      </c>
      <c r="AM22" s="120">
        <f t="shared" si="3"/>
        <v>0</v>
      </c>
      <c r="AN22" s="121">
        <f t="shared" si="3"/>
        <v>0</v>
      </c>
      <c r="AO22" s="153"/>
      <c r="AP22" s="145"/>
    </row>
    <row r="23" spans="2:42">
      <c r="B23" s="18">
        <f t="shared" si="6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(E23*E45)+(F23*F45)+(G23*G45)+(H23*H45)+(I23*I45)+(J23*J45)+(K23*K45)+(L23*L45)+(M23*M45)+(N23*N45)+(O23*O45)+(P23*P45)+(Q23*Q45)+(R23*R45)+(S23*S45)+(T23*T45)+(U23*U45)+(V23*V45)+(W23*W45)+(X23*X45)+(Y23*Y45)+(Z23*Z45)+(AA23*AA45)+(AB23*AB45)</f>
        <v>0</v>
      </c>
      <c r="AD23" s="120">
        <f t="shared" si="1"/>
        <v>0</v>
      </c>
      <c r="AE23" s="121">
        <f t="shared" si="2"/>
        <v>0</v>
      </c>
      <c r="AF23" s="121"/>
      <c r="AG23" s="121"/>
      <c r="AH23" s="121"/>
      <c r="AI23" s="121"/>
      <c r="AJ23" s="121"/>
      <c r="AK23" s="121"/>
      <c r="AL23" s="121">
        <f t="shared" si="0"/>
        <v>0</v>
      </c>
      <c r="AM23" s="120">
        <f t="shared" si="3"/>
        <v>0</v>
      </c>
      <c r="AN23" s="121">
        <f t="shared" si="3"/>
        <v>0</v>
      </c>
      <c r="AO23" s="153"/>
      <c r="AP23" s="145"/>
    </row>
    <row r="24" spans="2:42">
      <c r="B24" s="25">
        <f t="shared" si="6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(E24*E45)+(F24*F45)+(G24*G45)+(H24*H45)+(I24*I45)+(J24*J45)+(K24*K45)+(L24*L45)+(M24*M45)+(N24*N45)+(O24*O45)+(P24*P45)+(Q24*Q45)+(R24*R45)+(S24*S45)+(T24*T45)+(U24*U45)+(V24*V45)+(W24*W45)+(X24*X45)+(Y24*Y45)+(Z24*Z45)+(AA24*AA45)+(AB24*AB45)</f>
        <v>0</v>
      </c>
      <c r="AD24" s="120">
        <f t="shared" si="1"/>
        <v>0</v>
      </c>
      <c r="AE24" s="121">
        <f t="shared" si="2"/>
        <v>0</v>
      </c>
      <c r="AF24" s="121"/>
      <c r="AG24" s="121"/>
      <c r="AH24" s="121"/>
      <c r="AI24" s="121"/>
      <c r="AJ24" s="121"/>
      <c r="AK24" s="121"/>
      <c r="AL24" s="121">
        <f t="shared" si="0"/>
        <v>0</v>
      </c>
      <c r="AM24" s="120">
        <f t="shared" si="3"/>
        <v>0</v>
      </c>
      <c r="AN24" s="121">
        <f t="shared" si="3"/>
        <v>0</v>
      </c>
      <c r="AO24" s="145"/>
      <c r="AP24" s="145"/>
    </row>
    <row r="25" spans="2:42">
      <c r="B25" s="18">
        <f t="shared" si="6"/>
        <v>14</v>
      </c>
      <c r="C25" s="225"/>
      <c r="D25" s="233"/>
      <c r="E25" s="234"/>
      <c r="F25" s="235"/>
      <c r="G25" s="236"/>
      <c r="H25" s="237"/>
      <c r="I25" s="238"/>
      <c r="J25" s="239"/>
      <c r="K25" s="240"/>
      <c r="L25" s="241"/>
      <c r="M25" s="242"/>
      <c r="N25" s="243"/>
      <c r="O25" s="241"/>
      <c r="P25" s="244"/>
      <c r="Q25" s="245"/>
      <c r="R25" s="246"/>
      <c r="S25" s="247"/>
      <c r="T25" s="248"/>
      <c r="U25" s="249"/>
      <c r="V25" s="249"/>
      <c r="W25" s="250"/>
      <c r="X25" s="251"/>
      <c r="Y25" s="251"/>
      <c r="Z25" s="252"/>
      <c r="AA25" s="252"/>
      <c r="AB25" s="252"/>
      <c r="AC25" s="119">
        <f>(E25*E45)+(F25*F45)+(G25*G45)+(H25*H45)+(I25*I45)+(J25*J45)+(K25*J45)+(L25*L45)+(M25*M45)+(N25*N45)+(O25*O45)+(P25*P45)+(Q25*Q45)+(R25*R45)+(S25*S45)+(T25*T45)+(U25*U45)+(V25*V45)+(W25*W45)+(X25*X45)+(Y25*Y45)+(Z25*Z45)+(AA25*AA45)+(AB25*AB45)</f>
        <v>0</v>
      </c>
      <c r="AD25" s="120">
        <f t="shared" si="1"/>
        <v>0</v>
      </c>
      <c r="AE25" s="121">
        <f t="shared" si="2"/>
        <v>0</v>
      </c>
      <c r="AF25" s="121"/>
      <c r="AG25" s="121"/>
      <c r="AH25" s="121"/>
      <c r="AI25" s="121"/>
      <c r="AJ25" s="121"/>
      <c r="AK25" s="121"/>
      <c r="AL25" s="121">
        <f t="shared" si="0"/>
        <v>0</v>
      </c>
      <c r="AM25" s="120">
        <f t="shared" si="3"/>
        <v>0</v>
      </c>
      <c r="AN25" s="121">
        <f t="shared" si="3"/>
        <v>0</v>
      </c>
      <c r="AO25" s="145"/>
      <c r="AP25" s="145"/>
    </row>
    <row r="26" spans="2:42">
      <c r="B26" s="25">
        <f t="shared" si="6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(E26*E45)+(F26*F45)+(G26*G45)+(H26*H45)+(I26*I45)+(J26*J45)+(K26*K45)+(L26*L45)+(M26*M45)+(N26*N45)+(O26*O45)+(P26*P45)+(Q26*Q45)+(R26*R45)+(S26*S45)+(T26*T45)+(U26*U45)+(V26*V45)+(W26*W45)+(X26*X45)+(Y26*Y45)+(Z26*Z45)+(AA26*AA45)+(AB26*AB45)</f>
        <v>0</v>
      </c>
      <c r="AD26" s="120">
        <f t="shared" si="1"/>
        <v>0</v>
      </c>
      <c r="AE26" s="121">
        <f t="shared" si="2"/>
        <v>0</v>
      </c>
      <c r="AF26" s="121"/>
      <c r="AG26" s="121"/>
      <c r="AH26" s="121"/>
      <c r="AI26" s="121"/>
      <c r="AJ26" s="121"/>
      <c r="AK26" s="121"/>
      <c r="AL26" s="121">
        <f t="shared" si="0"/>
        <v>0</v>
      </c>
      <c r="AM26" s="120">
        <f t="shared" si="3"/>
        <v>0</v>
      </c>
      <c r="AN26" s="121">
        <f t="shared" si="3"/>
        <v>0</v>
      </c>
      <c r="AO26" s="145"/>
      <c r="AP26" s="145"/>
    </row>
    <row r="27" ht="16.5" spans="2:42">
      <c r="B27" s="18">
        <f t="shared" si="6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282"/>
      <c r="AA27" s="118"/>
      <c r="AB27" s="118"/>
      <c r="AC27" s="119">
        <f>(E27*E45)+(F27*F45)+(G27*G45)+(H27*H45)+(I27*I45)+(J27*J45)+(K27*K45)+(L27*L45)+(M27*M45)+(N27*N45)+(O27*O45)+(P27*P45)+(Q27*Q45)+(R27*R45)+(S27*S45)+(T27*T45)+(U27*U45)+(V27*V45)+(W27*W45)+(X27*X45)+(Y27*Y45)+(Z27*Z45)+(AA27*AA45)+(AB27*AB45)</f>
        <v>0</v>
      </c>
      <c r="AD27" s="120">
        <f t="shared" si="1"/>
        <v>0</v>
      </c>
      <c r="AE27" s="121">
        <f t="shared" si="2"/>
        <v>0</v>
      </c>
      <c r="AF27" s="121"/>
      <c r="AG27" s="121"/>
      <c r="AH27" s="121"/>
      <c r="AI27" s="121"/>
      <c r="AJ27" s="121"/>
      <c r="AK27" s="121"/>
      <c r="AL27" s="121">
        <f t="shared" si="0"/>
        <v>0</v>
      </c>
      <c r="AM27" s="120">
        <f t="shared" si="3"/>
        <v>0</v>
      </c>
      <c r="AN27" s="121">
        <f t="shared" si="3"/>
        <v>0</v>
      </c>
      <c r="AO27" s="145"/>
      <c r="AP27" s="145"/>
    </row>
    <row r="28" ht="16.5" spans="2:42">
      <c r="B28" s="25">
        <f t="shared" si="6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83"/>
      <c r="AA28" s="283"/>
      <c r="AB28" s="118"/>
      <c r="AC28" s="119">
        <f>(E28*E45)+(F28*F45)+(G28*G45)+(H28*H45)+(I28*I45)+(J28*J45)+(K28*J45)+(L28*L45)+(M28*M45)+(N28*N45)+(O28*O45)+(P28*P45)+(Q28*Q45)+(R28*R45)+(S28*S45)+(T28*T45)+(U28*U45)+(V28*V45)+(W28*W45)+(X28*X45)+(Y28*Y45)+(Z28*Z45)+(AA28*AA45)+(AB28*AB45)</f>
        <v>0</v>
      </c>
      <c r="AD28" s="120">
        <f t="shared" si="1"/>
        <v>0</v>
      </c>
      <c r="AE28" s="121">
        <f t="shared" si="2"/>
        <v>0</v>
      </c>
      <c r="AF28" s="121"/>
      <c r="AG28" s="121"/>
      <c r="AH28" s="121"/>
      <c r="AI28" s="121"/>
      <c r="AJ28" s="121"/>
      <c r="AK28" s="121"/>
      <c r="AL28" s="121">
        <f t="shared" si="0"/>
        <v>0</v>
      </c>
      <c r="AM28" s="120">
        <f t="shared" ref="AM28:AN38" si="9">AL28</f>
        <v>0</v>
      </c>
      <c r="AN28" s="121">
        <f t="shared" si="9"/>
        <v>0</v>
      </c>
      <c r="AO28" s="145"/>
      <c r="AP28" s="145"/>
    </row>
    <row r="29" spans="2:42">
      <c r="B29" s="18">
        <f t="shared" si="6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(E29*E45)+(F29*F45)+(G29*G45)+(H29*H45)+(I29*I45)+(J29*J45)+(K29*K45)+(L29*L45)+(M29*M45)+(N29*N45)+(O29*O45)+(P29*P45)+(Q29*Q45)+(R29*R45)+(S29*S45)+(T29*T45)+(U29*U45)+(V29*V45)+(W29*W45)+(X29*X45)+(Y29*Y45)+(Z29*Z45)+(AA29*AA45)+(AB29*AB45)</f>
        <v>0</v>
      </c>
      <c r="AD29" s="120">
        <f t="shared" si="1"/>
        <v>0</v>
      </c>
      <c r="AE29" s="121">
        <f t="shared" si="2"/>
        <v>0</v>
      </c>
      <c r="AF29" s="121"/>
      <c r="AG29" s="121"/>
      <c r="AH29" s="121"/>
      <c r="AI29" s="121"/>
      <c r="AJ29" s="121"/>
      <c r="AK29" s="121"/>
      <c r="AL29" s="121">
        <f t="shared" si="0"/>
        <v>0</v>
      </c>
      <c r="AM29" s="120">
        <f t="shared" si="9"/>
        <v>0</v>
      </c>
      <c r="AN29" s="121">
        <f t="shared" si="9"/>
        <v>0</v>
      </c>
      <c r="AO29" s="145"/>
      <c r="AP29" s="145"/>
    </row>
    <row r="30" spans="2:42">
      <c r="B30" s="25">
        <f t="shared" si="6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(E30*E45)+(F30*F45)+(G30*G45)+(H30*H45)+(I30*I45)+(J30*J45)+(K30*K45)+(L30*L45)+(M30*M45)+(N30*N45)+(O30*O45)+(P30*P45)+(Q30*Q45)+(R30*R45)+(S30*S45)+(T30*T45)+(U30*U45)+(V30*V45)+(W30*W45)+(X30*X45)+(Y30*Y45)+(Z30*Z45)+(AA30*AA45)+(AB30*AB45)</f>
        <v>0</v>
      </c>
      <c r="AD30" s="120">
        <f t="shared" si="1"/>
        <v>0</v>
      </c>
      <c r="AE30" s="121">
        <f t="shared" si="2"/>
        <v>0</v>
      </c>
      <c r="AF30" s="121"/>
      <c r="AG30" s="121"/>
      <c r="AH30" s="121"/>
      <c r="AI30" s="121"/>
      <c r="AJ30" s="121"/>
      <c r="AK30" s="121"/>
      <c r="AL30" s="121">
        <f t="shared" si="0"/>
        <v>0</v>
      </c>
      <c r="AM30" s="120">
        <f t="shared" si="9"/>
        <v>0</v>
      </c>
      <c r="AN30" s="121">
        <f t="shared" si="9"/>
        <v>0</v>
      </c>
      <c r="AO30" s="145"/>
      <c r="AP30" s="145"/>
    </row>
    <row r="31" spans="2:42">
      <c r="B31" s="18">
        <f t="shared" si="6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(E31*E45)+(F31*F45)+(G31*G45)+(H31*H45)+(I31*I45)+(J31*J45)+(K31*J45)+(L31*L45)+(M31*M45)+(N31*N45)+(O31*O45)+(P31*P45)+(Q31*Q45)+(R31*R45)+(S31*S45)+(T31*T45)+(U31*U45)+(V31*V45)+(W31*W45)+(X31*X45)+(Y31*Y45)+(Z31*Z45)+(AA31*AA45)+(AB31*AB45)</f>
        <v>0</v>
      </c>
      <c r="AD31" s="120">
        <f t="shared" si="1"/>
        <v>0</v>
      </c>
      <c r="AE31" s="121">
        <f t="shared" si="2"/>
        <v>0</v>
      </c>
      <c r="AF31" s="121"/>
      <c r="AG31" s="121"/>
      <c r="AH31" s="121"/>
      <c r="AI31" s="121"/>
      <c r="AJ31" s="121"/>
      <c r="AK31" s="121"/>
      <c r="AL31" s="121">
        <f t="shared" si="0"/>
        <v>0</v>
      </c>
      <c r="AM31" s="120">
        <f t="shared" si="9"/>
        <v>0</v>
      </c>
      <c r="AN31" s="121">
        <f t="shared" si="9"/>
        <v>0</v>
      </c>
      <c r="AO31" s="145"/>
      <c r="AP31" s="145"/>
    </row>
    <row r="32" spans="2:42">
      <c r="B32" s="25">
        <f t="shared" si="6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(E32*E45)+(F32*F45)+(G32*G45)+(H32*H45)+(I32*I45)+(J32*J45)+(K32*K45)+(L32*L45)+(M32*M45)+(N32*N45)+(O32*O45)+(P32*P45)+(Q32*Q45)+(R32*R45)+(S32*S45)+(T32*T45)+(U32*U45)+(V32*V45)+(W32*W45)+(X32*X45)+(Y32*Y45)+(Z32*Z45)+(AA32*AA45)+(AB32*AB45)</f>
        <v>0</v>
      </c>
      <c r="AD32" s="120">
        <f t="shared" si="1"/>
        <v>0</v>
      </c>
      <c r="AE32" s="121">
        <f t="shared" si="2"/>
        <v>0</v>
      </c>
      <c r="AF32" s="121"/>
      <c r="AG32" s="121"/>
      <c r="AH32" s="121"/>
      <c r="AI32" s="121"/>
      <c r="AJ32" s="121"/>
      <c r="AK32" s="121"/>
      <c r="AL32" s="121">
        <f t="shared" si="0"/>
        <v>0</v>
      </c>
      <c r="AM32" s="120">
        <f t="shared" si="9"/>
        <v>0</v>
      </c>
      <c r="AN32" s="121">
        <f t="shared" si="9"/>
        <v>0</v>
      </c>
      <c r="AO32" s="145"/>
      <c r="AP32" s="145"/>
    </row>
    <row r="33" spans="2:42">
      <c r="B33" s="18">
        <f t="shared" si="6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(E33*E45)+(F33*F45)+(G33*G45)+(H33*H45)+(I33*I45)+(J33*J45)+(K33*K45)+(L33*L45)+(M33*M45)+(N33*N45)+(O33*O45)+(P33*P45)+(Q33*Q45)+(R33*R45)+(S33*S45)+(T33*T45)+(U33*U45)+(V33*V45)+(W33*W45)+(X33*X45)+(Y33*Y45)+(Z33*Z45)+(AA33*AA45)+(AB33*AB45)</f>
        <v>0</v>
      </c>
      <c r="AD33" s="120">
        <f t="shared" si="1"/>
        <v>0</v>
      </c>
      <c r="AE33" s="121">
        <f t="shared" si="2"/>
        <v>0</v>
      </c>
      <c r="AF33" s="121"/>
      <c r="AG33" s="121"/>
      <c r="AH33" s="121"/>
      <c r="AI33" s="121"/>
      <c r="AJ33" s="121"/>
      <c r="AK33" s="121"/>
      <c r="AL33" s="121">
        <f t="shared" si="0"/>
        <v>0</v>
      </c>
      <c r="AM33" s="120">
        <f t="shared" si="9"/>
        <v>0</v>
      </c>
      <c r="AN33" s="121">
        <f t="shared" si="9"/>
        <v>0</v>
      </c>
      <c r="AO33" s="145"/>
      <c r="AP33" s="145"/>
    </row>
    <row r="34" spans="2:42">
      <c r="B34" s="25">
        <f t="shared" si="6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(E34*E45)+(F34*F45)+(G34*G45)+(H34*H45)+(I34*I45)+(J34*J45)+(K34*J45)+(L34*L45)+(M34*M45)+(N34*N45)+(O34*O45)+(P34*P45)+(Q34*Q45)+(R34*R45)+(S34*S45)+(T34*T45)+(U34*U45)+(V34*V45)+(W34*W45)+(X34*X45)+(Y34*Y45)+(Z34*Z45)+(AA34*AA45)+(AB34*AB45)</f>
        <v>0</v>
      </c>
      <c r="AD34" s="120">
        <f t="shared" si="1"/>
        <v>0</v>
      </c>
      <c r="AE34" s="121">
        <f t="shared" si="2"/>
        <v>0</v>
      </c>
      <c r="AF34" s="121"/>
      <c r="AG34" s="121"/>
      <c r="AH34" s="121"/>
      <c r="AI34" s="121"/>
      <c r="AJ34" s="121"/>
      <c r="AK34" s="121"/>
      <c r="AL34" s="121">
        <f t="shared" si="0"/>
        <v>0</v>
      </c>
      <c r="AM34" s="120">
        <f t="shared" si="9"/>
        <v>0</v>
      </c>
      <c r="AN34" s="121">
        <f t="shared" si="9"/>
        <v>0</v>
      </c>
      <c r="AO34" s="145"/>
      <c r="AP34" s="145"/>
    </row>
    <row r="35" spans="2:42">
      <c r="B35" s="25">
        <f t="shared" si="6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(E35*E45)+(F35*F45)+(G35*G45)+(H35*H45)+(I35*I45)+(J35*J45)+(K35*K45)+(L35*L45)+(M35*M45)+(N35*N45)+(O35*O45)+(P35*P45)+(Q35*Q45)+(R35*R45)+(S35*S45)+(T35*T45)+(U35*U45)+(V35*V45)+(W35*W45)+(X35*X45)+(Y35*Y45)+(Z35*Z45)+(AA35*AA45)+(AB35*AB45)</f>
        <v>0</v>
      </c>
      <c r="AD35" s="120">
        <f t="shared" si="1"/>
        <v>0</v>
      </c>
      <c r="AE35" s="121">
        <f t="shared" si="2"/>
        <v>0</v>
      </c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9"/>
        <v>0</v>
      </c>
      <c r="AN35" s="121">
        <f t="shared" si="9"/>
        <v>0</v>
      </c>
      <c r="AO35" s="145"/>
      <c r="AP35" s="145"/>
    </row>
    <row r="36" spans="2:42">
      <c r="B36" s="25">
        <f t="shared" si="6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(E36*E45)+(F36*F45)+(G36*G45)+(H36*H45)+(I36*I45)+(J36*J45)+(K36*K45)+(L36*L45)+(M36*M45)+(N36*N45)+(O36*O45)+(P36*P45)+(Q36*Q45)+(R36*R45)+(S36*S45)+(T36*T45)+(U36*U45)+(V36*V45)+(W36*W45)+(X36*X45)+(Y36*Y45)+(Z36*Z45)+(AA36*AA45)+(AB36*AB45)</f>
        <v>0</v>
      </c>
      <c r="AD36" s="120">
        <f t="shared" si="1"/>
        <v>0</v>
      </c>
      <c r="AE36" s="121">
        <f t="shared" si="2"/>
        <v>0</v>
      </c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9"/>
        <v>0</v>
      </c>
      <c r="AN36" s="121">
        <f t="shared" si="9"/>
        <v>0</v>
      </c>
      <c r="AO36" s="145"/>
      <c r="AP36" s="145"/>
    </row>
    <row r="37" spans="2:42">
      <c r="B37" s="25">
        <f t="shared" si="6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(E37*E45)+(F37*F45)+(G37*G45)+(H37*H45)+(I37*I45)+(J37*J45)+(K37*J45)+(L37*L45)+(M37*M45)+(N37*N45)+(O37*O45)+(P37*P45)+(Q37*Q45)+(R37*R45)+(S37*S45)+(T37*T45)+(U37*U45)+(V37*V45)+(W37*W45)+(X37*X45)+(Y37*Y45)+(Z37*Z45)+(AA37*AA45)+(AB37*AB45)</f>
        <v>0</v>
      </c>
      <c r="AD37" s="120">
        <f t="shared" si="1"/>
        <v>0</v>
      </c>
      <c r="AE37" s="121">
        <f t="shared" si="2"/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9"/>
        <v>0</v>
      </c>
      <c r="AN37" s="121">
        <f t="shared" si="9"/>
        <v>0</v>
      </c>
      <c r="AO37" s="145"/>
      <c r="AP37" s="145"/>
    </row>
    <row r="38" spans="2:42">
      <c r="B38" s="25">
        <f t="shared" si="6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(E38*E45)+(F38*F45)+(G38*G45)+(H38*H45)+(I38*I45)+(J38*J45)+(K38*K45)+(L38*L45)+(M38*M45)+(N38*N45)+(O38*O45)+(P38*P45)+(Q38*Q45)+(R38*R45)+(S38*S45)+(T38*T45)+(U38*U45)+(V38*V45)+(W38*W45)+(X38*X45)+(Y38*Y45)+(Z38*Z45)+(AA38*AA45)+(AB38*AB45)</f>
        <v>0</v>
      </c>
      <c r="AD38" s="120">
        <f t="shared" si="1"/>
        <v>0</v>
      </c>
      <c r="AE38" s="121">
        <f t="shared" si="2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9"/>
        <v>0</v>
      </c>
      <c r="AN38" s="121">
        <f t="shared" si="9"/>
        <v>0</v>
      </c>
      <c r="AO38" s="145"/>
      <c r="AP38" s="145"/>
    </row>
    <row r="39" spans="2:42">
      <c r="B39" s="25">
        <f t="shared" si="6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284"/>
      <c r="AD39" s="285"/>
      <c r="AE39" s="135"/>
      <c r="AF39" s="135"/>
      <c r="AG39" s="123"/>
      <c r="AH39" s="130"/>
      <c r="AI39" s="123"/>
      <c r="AJ39" s="182"/>
      <c r="AK39" s="182"/>
      <c r="AL39" s="182"/>
      <c r="AM39" s="182"/>
      <c r="AN39" s="182"/>
      <c r="AO39" s="182"/>
      <c r="AP39" s="182"/>
    </row>
    <row r="40" spans="2:42">
      <c r="B40" s="25">
        <f t="shared" si="6"/>
        <v>29</v>
      </c>
      <c r="C40" s="32"/>
      <c r="D40" s="33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284"/>
      <c r="AD40" s="286"/>
      <c r="AE40" s="151"/>
      <c r="AF40" s="151"/>
      <c r="AG40" s="151"/>
      <c r="AH40" s="151"/>
      <c r="AI40" s="151"/>
      <c r="AJ40" s="145"/>
      <c r="AK40" s="145"/>
      <c r="AL40" s="145"/>
      <c r="AM40" s="145"/>
      <c r="AN40" s="145"/>
      <c r="AO40" s="145"/>
      <c r="AP40" s="145"/>
    </row>
    <row r="41" spans="2:42">
      <c r="B41" s="25">
        <f t="shared" si="6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217"/>
      <c r="AD41" s="151"/>
      <c r="AE41" s="151"/>
      <c r="AF41" s="151"/>
      <c r="AG41" s="151"/>
      <c r="AH41" s="151"/>
      <c r="AI41" s="151"/>
      <c r="AJ41" s="145"/>
      <c r="AK41" s="145"/>
      <c r="AL41" s="145"/>
      <c r="AM41" s="145"/>
      <c r="AN41" s="145"/>
      <c r="AO41" s="145"/>
      <c r="AP41" s="145"/>
    </row>
    <row r="42" ht="18.95" customHeight="1" spans="2:42">
      <c r="B42" s="34" t="s">
        <v>61</v>
      </c>
      <c r="C42" s="258"/>
      <c r="D42" s="259"/>
      <c r="E42" s="260"/>
      <c r="F42" s="261"/>
      <c r="G42" s="262"/>
      <c r="H42" s="263"/>
      <c r="I42" s="268"/>
      <c r="J42" s="269"/>
      <c r="K42" s="270"/>
      <c r="L42" s="271"/>
      <c r="M42" s="272"/>
      <c r="N42" s="273"/>
      <c r="O42" s="271"/>
      <c r="P42" s="274"/>
      <c r="Q42" s="275"/>
      <c r="R42" s="276"/>
      <c r="S42" s="277"/>
      <c r="T42" s="278"/>
      <c r="U42" s="279"/>
      <c r="V42" s="279"/>
      <c r="W42" s="280"/>
      <c r="X42" s="281"/>
      <c r="Y42" s="281"/>
      <c r="Z42" s="125"/>
      <c r="AA42" s="125"/>
      <c r="AB42" s="125"/>
      <c r="AC42" s="125"/>
      <c r="AD42" s="125"/>
      <c r="AE42" s="125"/>
      <c r="AF42" s="125">
        <f t="shared" ref="AF42:AP42" si="10">SUM(AF12:AF39)</f>
        <v>0</v>
      </c>
      <c r="AG42" s="125">
        <f t="shared" si="10"/>
        <v>0</v>
      </c>
      <c r="AH42" s="125">
        <f t="shared" si="10"/>
        <v>0</v>
      </c>
      <c r="AI42" s="125">
        <f t="shared" si="10"/>
        <v>0</v>
      </c>
      <c r="AJ42" s="125">
        <f t="shared" si="10"/>
        <v>0</v>
      </c>
      <c r="AK42" s="125">
        <f t="shared" si="10"/>
        <v>0</v>
      </c>
      <c r="AL42" s="125">
        <f t="shared" si="10"/>
        <v>0</v>
      </c>
      <c r="AM42" s="125">
        <f t="shared" si="10"/>
        <v>0</v>
      </c>
      <c r="AN42" s="125">
        <f t="shared" si="10"/>
        <v>0</v>
      </c>
      <c r="AO42" s="178">
        <f t="shared" si="10"/>
        <v>0</v>
      </c>
      <c r="AP42" s="288">
        <f t="shared" si="10"/>
        <v>0</v>
      </c>
    </row>
    <row r="43" s="257" customFormat="1" ht="18.95" customHeight="1" spans="2:41">
      <c r="B43" s="264"/>
      <c r="C43" s="265"/>
      <c r="AO43" s="289"/>
    </row>
    <row r="44" s="257" customFormat="1" ht="16.5" spans="3:3">
      <c r="C44" s="265"/>
    </row>
    <row r="45" ht="16.5" spans="2:29">
      <c r="B45" s="266"/>
      <c r="C45" s="267" t="s">
        <v>62</v>
      </c>
      <c r="D45" s="267"/>
      <c r="E45" s="267">
        <v>204</v>
      </c>
      <c r="F45" s="267">
        <f>12*E45</f>
        <v>2448</v>
      </c>
      <c r="G45" s="267">
        <v>177</v>
      </c>
      <c r="H45" s="267">
        <f>G45*48</f>
        <v>8496</v>
      </c>
      <c r="I45" s="267">
        <v>204</v>
      </c>
      <c r="J45" s="267">
        <f>I45*12</f>
        <v>2448</v>
      </c>
      <c r="K45" s="267">
        <v>177</v>
      </c>
      <c r="L45" s="267">
        <f>K45*15</f>
        <v>2655</v>
      </c>
      <c r="M45" s="267">
        <v>34</v>
      </c>
      <c r="N45" s="267">
        <f>M45*6</f>
        <v>204</v>
      </c>
      <c r="O45" s="267">
        <v>272</v>
      </c>
      <c r="P45" s="267">
        <f>O45*4</f>
        <v>1088</v>
      </c>
      <c r="Q45" s="267">
        <v>1496</v>
      </c>
      <c r="R45" s="267">
        <v>272</v>
      </c>
      <c r="S45" s="267">
        <f>R45*4</f>
        <v>1088</v>
      </c>
      <c r="T45" s="267">
        <v>6800</v>
      </c>
      <c r="U45" s="267">
        <v>75</v>
      </c>
      <c r="V45" s="267">
        <f>U45*12</f>
        <v>900</v>
      </c>
      <c r="W45" s="267">
        <v>13.6</v>
      </c>
      <c r="X45" s="267">
        <v>68</v>
      </c>
      <c r="Y45" s="267">
        <f>X45*12</f>
        <v>816</v>
      </c>
      <c r="Z45" s="267">
        <v>1904</v>
      </c>
      <c r="AA45" s="267">
        <v>122</v>
      </c>
      <c r="AB45" s="267">
        <v>340</v>
      </c>
      <c r="AC45" s="287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B2:AP46"/>
  <sheetViews>
    <sheetView showGridLines="0" workbookViewId="0">
      <pane xSplit="3" ySplit="7" topLeftCell="D15" activePane="bottomRight" state="frozen"/>
      <selection/>
      <selection pane="topRight"/>
      <selection pane="bottomLeft"/>
      <selection pane="bottomRight" activeCell="D12" sqref="D12:D34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/>
      <c r="L5" s="133"/>
      <c r="M5" s="133"/>
      <c r="N5" s="133"/>
    </row>
    <row r="6" ht="18.95" customHeight="1" spans="3:32">
      <c r="C6" s="4" t="s">
        <v>17</v>
      </c>
      <c r="D6" s="2" t="s">
        <v>63</v>
      </c>
      <c r="F6" s="6"/>
      <c r="G6" s="6"/>
      <c r="AF6" s="1" t="s">
        <v>63</v>
      </c>
    </row>
    <row r="7" ht="18.95" customHeight="1" spans="3:32">
      <c r="C7" s="7" t="s">
        <v>18</v>
      </c>
      <c r="D7" s="2" t="s">
        <v>64</v>
      </c>
      <c r="F7" s="6"/>
      <c r="G7" s="6"/>
      <c r="AF7" s="1" t="s">
        <v>64</v>
      </c>
    </row>
    <row r="8" ht="18.95" customHeight="1" spans="3:32">
      <c r="C8" s="7" t="s">
        <v>19</v>
      </c>
      <c r="D8" s="2" t="s">
        <v>65</v>
      </c>
      <c r="F8" s="6"/>
      <c r="G8" s="6"/>
      <c r="AF8" s="1" t="s">
        <v>65</v>
      </c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0" t="s">
        <v>41</v>
      </c>
      <c r="AG10" s="255"/>
      <c r="AH10" s="255"/>
      <c r="AI10" s="255"/>
      <c r="AJ10" s="255"/>
      <c r="AK10" s="255"/>
      <c r="AL10" s="255"/>
      <c r="AM10" s="255"/>
      <c r="AN10" s="255"/>
      <c r="AO10" s="253"/>
      <c r="AP10" s="145"/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67</v>
      </c>
      <c r="AG11" s="114"/>
      <c r="AH11" s="114"/>
      <c r="AI11" s="114" t="s">
        <v>57</v>
      </c>
      <c r="AJ11" s="114"/>
      <c r="AK11" s="114"/>
      <c r="AL11" s="34" t="s">
        <v>55</v>
      </c>
      <c r="AM11" s="141" t="s">
        <v>56</v>
      </c>
      <c r="AN11" s="117" t="s">
        <v>57</v>
      </c>
      <c r="AO11" s="148" t="s">
        <v>58</v>
      </c>
      <c r="AP11" s="145"/>
    </row>
    <row r="12" spans="2:42">
      <c r="B12" s="18">
        <f>B11+1</f>
        <v>1</v>
      </c>
      <c r="C12" s="19" t="s">
        <v>68</v>
      </c>
      <c r="D12" s="301" t="s">
        <v>69</v>
      </c>
      <c r="E12" s="21"/>
      <c r="F12" s="22">
        <v>1</v>
      </c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>
        <v>1</v>
      </c>
      <c r="R12" s="89"/>
      <c r="S12" s="90"/>
      <c r="T12" s="91">
        <v>1</v>
      </c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10744</v>
      </c>
      <c r="AD12" s="120">
        <f>10%*AC12</f>
        <v>1074.4</v>
      </c>
      <c r="AE12" s="121">
        <f>AC12-AD12</f>
        <v>9669.6</v>
      </c>
      <c r="AF12" s="121"/>
      <c r="AG12" s="121"/>
      <c r="AH12" s="121"/>
      <c r="AI12" s="121"/>
      <c r="AJ12" s="121"/>
      <c r="AK12" s="121"/>
      <c r="AL12" s="121">
        <f t="shared" ref="AL12:AL42" si="0">AE12/3</f>
        <v>3223.2</v>
      </c>
      <c r="AM12" s="120">
        <f>AL12</f>
        <v>3223.2</v>
      </c>
      <c r="AN12" s="121">
        <f>AM12</f>
        <v>3223.2</v>
      </c>
      <c r="AO12" s="256">
        <f t="shared" ref="AO12:AO20" si="1">AD12+AF12+AG12+AH12+AI12+AJ12+AK12</f>
        <v>1074.4</v>
      </c>
      <c r="AP12" s="145">
        <f>AC12-AO12</f>
        <v>9669.6</v>
      </c>
    </row>
    <row r="13" spans="2:42">
      <c r="B13" s="25">
        <f t="shared" ref="B13:B42" si="2">B12+1</f>
        <v>2</v>
      </c>
      <c r="C13" s="26" t="s">
        <v>70</v>
      </c>
      <c r="D13" s="302" t="s">
        <v>71</v>
      </c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>
        <v>1</v>
      </c>
      <c r="U13" s="99"/>
      <c r="V13" s="99">
        <v>1</v>
      </c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7700</v>
      </c>
      <c r="AD13" s="120">
        <f t="shared" ref="AD13:AD42" si="3">10%*AC13</f>
        <v>770</v>
      </c>
      <c r="AE13" s="121">
        <f t="shared" ref="AE13:AE18" si="4">AC13-AD13</f>
        <v>6930</v>
      </c>
      <c r="AF13" s="121"/>
      <c r="AG13" s="121"/>
      <c r="AH13" s="121"/>
      <c r="AI13" s="121"/>
      <c r="AJ13" s="121"/>
      <c r="AK13" s="121"/>
      <c r="AL13" s="121">
        <f t="shared" si="0"/>
        <v>2310</v>
      </c>
      <c r="AM13" s="120">
        <f t="shared" ref="AM13:AN28" si="5">AL13</f>
        <v>2310</v>
      </c>
      <c r="AN13" s="121">
        <f t="shared" si="5"/>
        <v>2310</v>
      </c>
      <c r="AO13" s="153">
        <f t="shared" si="1"/>
        <v>770</v>
      </c>
      <c r="AP13" s="145">
        <f t="shared" ref="AP13:AP18" si="6">AC13-AO13</f>
        <v>6930</v>
      </c>
    </row>
    <row r="14" spans="2:42">
      <c r="B14" s="25">
        <f t="shared" si="2"/>
        <v>3</v>
      </c>
      <c r="C14" s="26" t="s">
        <v>72</v>
      </c>
      <c r="D14" s="302" t="s">
        <v>73</v>
      </c>
      <c r="E14" s="28"/>
      <c r="F14" s="29">
        <v>1</v>
      </c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>
        <v>1</v>
      </c>
      <c r="U14" s="99"/>
      <c r="V14" s="99">
        <v>1</v>
      </c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10148</v>
      </c>
      <c r="AD14" s="120">
        <f t="shared" si="3"/>
        <v>1014.8</v>
      </c>
      <c r="AE14" s="121">
        <f t="shared" si="4"/>
        <v>9133.2</v>
      </c>
      <c r="AF14" s="121"/>
      <c r="AG14" s="121"/>
      <c r="AH14" s="121"/>
      <c r="AI14" s="121"/>
      <c r="AJ14" s="121"/>
      <c r="AK14" s="121"/>
      <c r="AL14" s="121">
        <f t="shared" si="0"/>
        <v>3044.4</v>
      </c>
      <c r="AM14" s="120">
        <f t="shared" si="5"/>
        <v>3044.4</v>
      </c>
      <c r="AN14" s="121">
        <f t="shared" si="5"/>
        <v>3044.4</v>
      </c>
      <c r="AO14" s="153">
        <f t="shared" si="1"/>
        <v>1014.8</v>
      </c>
      <c r="AP14" s="145">
        <f t="shared" si="6"/>
        <v>9133.2</v>
      </c>
    </row>
    <row r="15" spans="2:42">
      <c r="B15" s="25">
        <f t="shared" si="2"/>
        <v>4</v>
      </c>
      <c r="C15" s="26" t="s">
        <v>74</v>
      </c>
      <c r="D15" s="302" t="s">
        <v>75</v>
      </c>
      <c r="E15" s="28"/>
      <c r="F15" s="29">
        <v>1</v>
      </c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>
        <v>1</v>
      </c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3348</v>
      </c>
      <c r="AD15" s="120">
        <f t="shared" si="3"/>
        <v>334.8</v>
      </c>
      <c r="AE15" s="121">
        <f t="shared" si="4"/>
        <v>3013.2</v>
      </c>
      <c r="AF15" s="121"/>
      <c r="AG15" s="121"/>
      <c r="AH15" s="121"/>
      <c r="AI15" s="121"/>
      <c r="AJ15" s="121"/>
      <c r="AK15" s="121"/>
      <c r="AL15" s="121">
        <f t="shared" si="0"/>
        <v>1004.4</v>
      </c>
      <c r="AM15" s="120">
        <f t="shared" si="5"/>
        <v>1004.4</v>
      </c>
      <c r="AN15" s="121">
        <f t="shared" si="5"/>
        <v>1004.4</v>
      </c>
      <c r="AO15" s="153">
        <f t="shared" si="1"/>
        <v>334.8</v>
      </c>
      <c r="AP15" s="145">
        <f t="shared" si="6"/>
        <v>3013.2</v>
      </c>
    </row>
    <row r="16" spans="2:42">
      <c r="B16" s="25">
        <f t="shared" si="2"/>
        <v>5</v>
      </c>
      <c r="C16" s="26" t="s">
        <v>76</v>
      </c>
      <c r="D16" s="302" t="s">
        <v>77</v>
      </c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>
        <v>1</v>
      </c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816</v>
      </c>
      <c r="AD16" s="120">
        <f t="shared" si="3"/>
        <v>81.6</v>
      </c>
      <c r="AE16" s="121">
        <f t="shared" si="4"/>
        <v>734.4</v>
      </c>
      <c r="AF16" s="121"/>
      <c r="AG16" s="121"/>
      <c r="AH16" s="121"/>
      <c r="AI16" s="121"/>
      <c r="AJ16" s="121"/>
      <c r="AK16" s="121"/>
      <c r="AL16" s="121">
        <f t="shared" si="0"/>
        <v>244.8</v>
      </c>
      <c r="AM16" s="120">
        <f t="shared" si="5"/>
        <v>244.8</v>
      </c>
      <c r="AN16" s="121">
        <f t="shared" si="5"/>
        <v>244.8</v>
      </c>
      <c r="AO16" s="153">
        <f t="shared" si="1"/>
        <v>81.6</v>
      </c>
      <c r="AP16" s="145">
        <f t="shared" si="6"/>
        <v>734.4</v>
      </c>
    </row>
    <row r="17" spans="2:42">
      <c r="B17" s="25">
        <f t="shared" si="2"/>
        <v>6</v>
      </c>
      <c r="C17" s="26" t="s">
        <v>78</v>
      </c>
      <c r="D17" s="302" t="s">
        <v>79</v>
      </c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>
        <v>1</v>
      </c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1496</v>
      </c>
      <c r="AD17" s="120">
        <f t="shared" si="3"/>
        <v>149.6</v>
      </c>
      <c r="AE17" s="121">
        <f t="shared" si="4"/>
        <v>1346.4</v>
      </c>
      <c r="AF17" s="121"/>
      <c r="AG17" s="121"/>
      <c r="AH17" s="121"/>
      <c r="AI17" s="121"/>
      <c r="AJ17" s="121"/>
      <c r="AK17" s="121"/>
      <c r="AL17" s="121">
        <f t="shared" si="0"/>
        <v>448.8</v>
      </c>
      <c r="AM17" s="120">
        <f t="shared" si="5"/>
        <v>448.8</v>
      </c>
      <c r="AN17" s="121">
        <f t="shared" si="5"/>
        <v>448.8</v>
      </c>
      <c r="AO17" s="153">
        <f t="shared" si="1"/>
        <v>149.6</v>
      </c>
      <c r="AP17" s="145">
        <f t="shared" si="6"/>
        <v>1346.4</v>
      </c>
    </row>
    <row r="18" spans="2:42">
      <c r="B18" s="25">
        <f t="shared" si="2"/>
        <v>7</v>
      </c>
      <c r="C18" s="26" t="s">
        <v>80</v>
      </c>
      <c r="D18" s="302" t="s">
        <v>81</v>
      </c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>
        <v>1</v>
      </c>
      <c r="U18" s="99"/>
      <c r="V18" s="99">
        <v>1</v>
      </c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7700</v>
      </c>
      <c r="AD18" s="120">
        <f t="shared" si="3"/>
        <v>770</v>
      </c>
      <c r="AE18" s="121">
        <f t="shared" si="4"/>
        <v>6930</v>
      </c>
      <c r="AF18" s="121"/>
      <c r="AG18" s="121"/>
      <c r="AH18" s="121"/>
      <c r="AI18" s="121"/>
      <c r="AJ18" s="121"/>
      <c r="AK18" s="121"/>
      <c r="AL18" s="121">
        <f t="shared" si="0"/>
        <v>2310</v>
      </c>
      <c r="AM18" s="120">
        <f>AL18</f>
        <v>2310</v>
      </c>
      <c r="AN18" s="121">
        <f t="shared" si="5"/>
        <v>2310</v>
      </c>
      <c r="AO18" s="153">
        <f t="shared" si="1"/>
        <v>770</v>
      </c>
      <c r="AP18" s="145">
        <f t="shared" si="6"/>
        <v>6930</v>
      </c>
    </row>
    <row r="19" spans="2:42">
      <c r="B19" s="25">
        <f t="shared" si="2"/>
        <v>8</v>
      </c>
      <c r="C19" s="26" t="s">
        <v>82</v>
      </c>
      <c r="D19" s="27"/>
      <c r="E19" s="28"/>
      <c r="F19" s="29"/>
      <c r="G19" s="30">
        <v>6</v>
      </c>
      <c r="H19" s="31"/>
      <c r="I19" s="63">
        <v>6</v>
      </c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2286</v>
      </c>
      <c r="AD19" s="120">
        <f t="shared" si="3"/>
        <v>228.6</v>
      </c>
      <c r="AE19" s="121">
        <f t="shared" ref="AE19:AE42" si="7">AC19-AD19</f>
        <v>2057.4</v>
      </c>
      <c r="AF19" s="121"/>
      <c r="AG19" s="121"/>
      <c r="AH19" s="121"/>
      <c r="AI19" s="121"/>
      <c r="AJ19" s="121"/>
      <c r="AK19" s="121"/>
      <c r="AL19" s="121">
        <f t="shared" si="0"/>
        <v>685.8</v>
      </c>
      <c r="AM19" s="120">
        <f t="shared" si="5"/>
        <v>685.8</v>
      </c>
      <c r="AN19" s="121">
        <f t="shared" si="5"/>
        <v>685.8</v>
      </c>
      <c r="AO19" s="153">
        <f t="shared" si="1"/>
        <v>228.6</v>
      </c>
      <c r="AP19" s="145"/>
    </row>
    <row r="20" spans="2:42">
      <c r="B20" s="25">
        <f t="shared" si="2"/>
        <v>9</v>
      </c>
      <c r="C20" s="26" t="s">
        <v>83</v>
      </c>
      <c r="D20" s="302" t="s">
        <v>84</v>
      </c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>
        <v>1</v>
      </c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6800</v>
      </c>
      <c r="AD20" s="120">
        <f t="shared" si="3"/>
        <v>680</v>
      </c>
      <c r="AE20" s="121">
        <f t="shared" si="7"/>
        <v>6120</v>
      </c>
      <c r="AF20" s="121"/>
      <c r="AG20" s="121"/>
      <c r="AH20" s="121"/>
      <c r="AI20" s="121"/>
      <c r="AJ20" s="121"/>
      <c r="AK20" s="121"/>
      <c r="AL20" s="121">
        <f t="shared" si="0"/>
        <v>2040</v>
      </c>
      <c r="AM20" s="120">
        <f t="shared" si="5"/>
        <v>2040</v>
      </c>
      <c r="AN20" s="121">
        <f t="shared" si="5"/>
        <v>2040</v>
      </c>
      <c r="AO20" s="153">
        <f t="shared" si="1"/>
        <v>680</v>
      </c>
      <c r="AP20" s="145"/>
    </row>
    <row r="21" spans="2:42">
      <c r="B21" s="25">
        <f t="shared" si="2"/>
        <v>10</v>
      </c>
      <c r="C21" s="26" t="s">
        <v>85</v>
      </c>
      <c r="D21" s="302" t="s">
        <v>86</v>
      </c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>
        <v>1</v>
      </c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1904</v>
      </c>
      <c r="AD21" s="120">
        <f t="shared" si="3"/>
        <v>190.4</v>
      </c>
      <c r="AE21" s="121">
        <f t="shared" si="7"/>
        <v>1713.6</v>
      </c>
      <c r="AF21" s="121"/>
      <c r="AG21" s="121"/>
      <c r="AH21" s="121"/>
      <c r="AI21" s="121"/>
      <c r="AJ21" s="121"/>
      <c r="AK21" s="121"/>
      <c r="AL21" s="121">
        <f t="shared" si="0"/>
        <v>571.2</v>
      </c>
      <c r="AM21" s="120">
        <f t="shared" si="5"/>
        <v>571.2</v>
      </c>
      <c r="AN21" s="121">
        <f t="shared" si="5"/>
        <v>571.2</v>
      </c>
      <c r="AO21" s="153"/>
      <c r="AP21" s="145"/>
    </row>
    <row r="22" spans="2:42">
      <c r="B22" s="25">
        <f t="shared" si="2"/>
        <v>11</v>
      </c>
      <c r="C22" s="26" t="s">
        <v>87</v>
      </c>
      <c r="D22" s="302" t="s">
        <v>69</v>
      </c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>
        <v>1</v>
      </c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6800</v>
      </c>
      <c r="AD22" s="120">
        <f t="shared" si="3"/>
        <v>680</v>
      </c>
      <c r="AE22" s="121">
        <f t="shared" si="7"/>
        <v>6120</v>
      </c>
      <c r="AF22" s="121"/>
      <c r="AG22" s="121"/>
      <c r="AH22" s="121"/>
      <c r="AI22" s="121"/>
      <c r="AJ22" s="121"/>
      <c r="AK22" s="121"/>
      <c r="AL22" s="121">
        <f t="shared" si="0"/>
        <v>2040</v>
      </c>
      <c r="AM22" s="120">
        <f t="shared" si="5"/>
        <v>2040</v>
      </c>
      <c r="AN22" s="121">
        <f t="shared" si="5"/>
        <v>2040</v>
      </c>
      <c r="AO22" s="153"/>
      <c r="AP22" s="145"/>
    </row>
    <row r="23" spans="2:42">
      <c r="B23" s="25">
        <f t="shared" si="2"/>
        <v>12</v>
      </c>
      <c r="C23" s="32" t="s">
        <v>88</v>
      </c>
      <c r="D23" s="302" t="s">
        <v>89</v>
      </c>
      <c r="E23" s="28">
        <v>2</v>
      </c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>
        <v>1</v>
      </c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1308</v>
      </c>
      <c r="AD23" s="120">
        <f t="shared" si="3"/>
        <v>130.8</v>
      </c>
      <c r="AE23" s="121">
        <f t="shared" si="7"/>
        <v>1177.2</v>
      </c>
      <c r="AF23" s="121"/>
      <c r="AG23" s="121"/>
      <c r="AH23" s="121"/>
      <c r="AI23" s="121"/>
      <c r="AJ23" s="121"/>
      <c r="AK23" s="121"/>
      <c r="AL23" s="121">
        <f t="shared" si="0"/>
        <v>392.4</v>
      </c>
      <c r="AM23" s="120">
        <f t="shared" si="5"/>
        <v>392.4</v>
      </c>
      <c r="AN23" s="121">
        <f t="shared" si="5"/>
        <v>392.4</v>
      </c>
      <c r="AO23" s="153"/>
      <c r="AP23" s="145"/>
    </row>
    <row r="24" spans="2:42">
      <c r="B24" s="25">
        <f t="shared" si="2"/>
        <v>13</v>
      </c>
      <c r="C24" s="32" t="s">
        <v>90</v>
      </c>
      <c r="D24" s="302" t="s">
        <v>91</v>
      </c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>
        <v>1</v>
      </c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6800</v>
      </c>
      <c r="AD24" s="120">
        <f t="shared" si="3"/>
        <v>680</v>
      </c>
      <c r="AE24" s="121">
        <f t="shared" si="7"/>
        <v>6120</v>
      </c>
      <c r="AF24" s="121"/>
      <c r="AG24" s="121"/>
      <c r="AH24" s="121"/>
      <c r="AI24" s="121"/>
      <c r="AJ24" s="121"/>
      <c r="AK24" s="121"/>
      <c r="AL24" s="121">
        <f t="shared" si="0"/>
        <v>2040</v>
      </c>
      <c r="AM24" s="120">
        <f t="shared" si="5"/>
        <v>2040</v>
      </c>
      <c r="AN24" s="121">
        <f t="shared" si="5"/>
        <v>2040</v>
      </c>
      <c r="AO24" s="153"/>
      <c r="AP24" s="145"/>
    </row>
    <row r="25" spans="2:42">
      <c r="B25" s="25">
        <f t="shared" si="2"/>
        <v>14</v>
      </c>
      <c r="C25" s="32" t="s">
        <v>92</v>
      </c>
      <c r="D25" s="302" t="s">
        <v>93</v>
      </c>
      <c r="E25" s="28"/>
      <c r="F25" s="29">
        <v>1</v>
      </c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2448</v>
      </c>
      <c r="AD25" s="120">
        <f t="shared" si="3"/>
        <v>244.8</v>
      </c>
      <c r="AE25" s="121">
        <f t="shared" si="7"/>
        <v>2203.2</v>
      </c>
      <c r="AF25" s="121"/>
      <c r="AG25" s="121"/>
      <c r="AH25" s="121"/>
      <c r="AI25" s="121"/>
      <c r="AJ25" s="121"/>
      <c r="AK25" s="121"/>
      <c r="AL25" s="121">
        <f t="shared" si="0"/>
        <v>734.4</v>
      </c>
      <c r="AM25" s="120">
        <f t="shared" si="5"/>
        <v>734.4</v>
      </c>
      <c r="AN25" s="121">
        <f t="shared" si="5"/>
        <v>734.4</v>
      </c>
      <c r="AO25" s="153"/>
      <c r="AP25" s="145"/>
    </row>
    <row r="26" spans="2:42">
      <c r="B26" s="25">
        <f t="shared" si="2"/>
        <v>15</v>
      </c>
      <c r="C26" s="32" t="s">
        <v>94</v>
      </c>
      <c r="D26" s="302" t="s">
        <v>95</v>
      </c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>
        <v>1</v>
      </c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900</v>
      </c>
      <c r="AD26" s="120">
        <f t="shared" si="3"/>
        <v>90</v>
      </c>
      <c r="AE26" s="121">
        <f t="shared" si="7"/>
        <v>810</v>
      </c>
      <c r="AF26" s="121"/>
      <c r="AG26" s="121"/>
      <c r="AH26" s="121"/>
      <c r="AI26" s="121"/>
      <c r="AJ26" s="121"/>
      <c r="AK26" s="121"/>
      <c r="AL26" s="121">
        <f t="shared" si="0"/>
        <v>270</v>
      </c>
      <c r="AM26" s="120">
        <f t="shared" si="5"/>
        <v>270</v>
      </c>
      <c r="AN26" s="121">
        <f t="shared" si="5"/>
        <v>270</v>
      </c>
      <c r="AO26" s="153"/>
      <c r="AP26" s="145"/>
    </row>
    <row r="27" spans="2:42">
      <c r="B27" s="25">
        <f t="shared" si="2"/>
        <v>16</v>
      </c>
      <c r="C27" s="32" t="s">
        <v>96</v>
      </c>
      <c r="D27" s="302" t="s">
        <v>93</v>
      </c>
      <c r="E27" s="28"/>
      <c r="F27" s="29">
        <v>1</v>
      </c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>
        <v>1</v>
      </c>
      <c r="R27" s="96"/>
      <c r="S27" s="97"/>
      <c r="T27" s="98"/>
      <c r="U27" s="99"/>
      <c r="V27" s="99">
        <v>1</v>
      </c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4844</v>
      </c>
      <c r="AD27" s="120">
        <f t="shared" si="3"/>
        <v>484.4</v>
      </c>
      <c r="AE27" s="121">
        <f t="shared" si="7"/>
        <v>4359.6</v>
      </c>
      <c r="AF27" s="121"/>
      <c r="AG27" s="121"/>
      <c r="AH27" s="121"/>
      <c r="AI27" s="121"/>
      <c r="AJ27" s="121"/>
      <c r="AK27" s="121"/>
      <c r="AL27" s="121">
        <f t="shared" si="0"/>
        <v>1453.2</v>
      </c>
      <c r="AM27" s="120">
        <f t="shared" si="5"/>
        <v>1453.2</v>
      </c>
      <c r="AN27" s="121">
        <f t="shared" si="5"/>
        <v>1453.2</v>
      </c>
      <c r="AO27" s="153"/>
      <c r="AP27" s="145"/>
    </row>
    <row r="28" spans="2:42">
      <c r="B28" s="25">
        <f t="shared" si="2"/>
        <v>17</v>
      </c>
      <c r="C28" s="32" t="s">
        <v>97</v>
      </c>
      <c r="D28" s="302" t="s">
        <v>98</v>
      </c>
      <c r="E28" s="28">
        <v>6</v>
      </c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>
        <v>1</v>
      </c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8024</v>
      </c>
      <c r="AD28" s="120">
        <f t="shared" si="3"/>
        <v>802.4</v>
      </c>
      <c r="AE28" s="121">
        <f t="shared" si="7"/>
        <v>7221.6</v>
      </c>
      <c r="AF28" s="121"/>
      <c r="AG28" s="121"/>
      <c r="AH28" s="121"/>
      <c r="AI28" s="121"/>
      <c r="AJ28" s="121"/>
      <c r="AK28" s="121"/>
      <c r="AL28" s="121">
        <f t="shared" si="0"/>
        <v>2407.2</v>
      </c>
      <c r="AM28" s="120">
        <f t="shared" si="5"/>
        <v>2407.2</v>
      </c>
      <c r="AN28" s="121">
        <f t="shared" si="5"/>
        <v>2407.2</v>
      </c>
      <c r="AO28" s="153"/>
      <c r="AP28" s="145"/>
    </row>
    <row r="29" spans="2:42">
      <c r="B29" s="25">
        <f t="shared" si="2"/>
        <v>18</v>
      </c>
      <c r="C29" s="32" t="s">
        <v>99</v>
      </c>
      <c r="D29" s="302" t="s">
        <v>100</v>
      </c>
      <c r="E29" s="28"/>
      <c r="F29" s="29">
        <v>1</v>
      </c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>
        <v>1</v>
      </c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3348</v>
      </c>
      <c r="AD29" s="120">
        <f t="shared" si="3"/>
        <v>334.8</v>
      </c>
      <c r="AE29" s="121">
        <f t="shared" si="7"/>
        <v>3013.2</v>
      </c>
      <c r="AF29" s="121"/>
      <c r="AG29" s="121"/>
      <c r="AH29" s="121"/>
      <c r="AI29" s="121"/>
      <c r="AJ29" s="121"/>
      <c r="AK29" s="121"/>
      <c r="AL29" s="121">
        <f t="shared" si="0"/>
        <v>1004.4</v>
      </c>
      <c r="AM29" s="120">
        <f t="shared" ref="AM29:AN42" si="8">AL29</f>
        <v>1004.4</v>
      </c>
      <c r="AN29" s="121">
        <f t="shared" si="8"/>
        <v>1004.4</v>
      </c>
      <c r="AO29" s="153"/>
      <c r="AP29" s="145"/>
    </row>
    <row r="30" spans="2:42">
      <c r="B30" s="25">
        <f t="shared" si="2"/>
        <v>19</v>
      </c>
      <c r="C30" s="32" t="s">
        <v>101</v>
      </c>
      <c r="D30" s="302" t="s">
        <v>102</v>
      </c>
      <c r="E30" s="28"/>
      <c r="F30" s="29">
        <v>3</v>
      </c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7344</v>
      </c>
      <c r="AD30" s="120">
        <f t="shared" si="3"/>
        <v>734.4</v>
      </c>
      <c r="AE30" s="121">
        <f t="shared" si="7"/>
        <v>6609.6</v>
      </c>
      <c r="AF30" s="121"/>
      <c r="AG30" s="121"/>
      <c r="AH30" s="121"/>
      <c r="AI30" s="121"/>
      <c r="AJ30" s="121"/>
      <c r="AK30" s="121"/>
      <c r="AL30" s="121">
        <f t="shared" si="0"/>
        <v>2203.2</v>
      </c>
      <c r="AM30" s="120">
        <f t="shared" si="8"/>
        <v>2203.2</v>
      </c>
      <c r="AN30" s="121">
        <f t="shared" si="8"/>
        <v>2203.2</v>
      </c>
      <c r="AO30" s="153"/>
      <c r="AP30" s="145"/>
    </row>
    <row r="31" spans="2:42">
      <c r="B31" s="25">
        <f t="shared" si="2"/>
        <v>20</v>
      </c>
      <c r="C31" s="32" t="s">
        <v>103</v>
      </c>
      <c r="D31" s="302" t="s">
        <v>104</v>
      </c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>
        <v>1</v>
      </c>
      <c r="Q31" s="95">
        <v>1</v>
      </c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2584</v>
      </c>
      <c r="AD31" s="120">
        <f t="shared" si="3"/>
        <v>258.4</v>
      </c>
      <c r="AE31" s="121">
        <f t="shared" si="7"/>
        <v>2325.6</v>
      </c>
      <c r="AF31" s="121"/>
      <c r="AG31" s="121"/>
      <c r="AH31" s="121"/>
      <c r="AI31" s="121"/>
      <c r="AJ31" s="121"/>
      <c r="AK31" s="121"/>
      <c r="AL31" s="121">
        <f t="shared" si="0"/>
        <v>775.2</v>
      </c>
      <c r="AM31" s="120">
        <f t="shared" si="8"/>
        <v>775.2</v>
      </c>
      <c r="AN31" s="121">
        <f t="shared" si="8"/>
        <v>775.2</v>
      </c>
      <c r="AO31" s="153"/>
      <c r="AP31" s="145"/>
    </row>
    <row r="32" spans="2:42">
      <c r="B32" s="25">
        <f t="shared" si="2"/>
        <v>21</v>
      </c>
      <c r="C32" s="32" t="s">
        <v>105</v>
      </c>
      <c r="D32" s="302" t="s">
        <v>106</v>
      </c>
      <c r="E32" s="28"/>
      <c r="F32" s="29">
        <v>2</v>
      </c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>
        <v>1</v>
      </c>
      <c r="U32" s="99"/>
      <c r="V32" s="99"/>
      <c r="W32" s="100"/>
      <c r="X32" s="101"/>
      <c r="Y32" s="101">
        <v>2</v>
      </c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13328</v>
      </c>
      <c r="AD32" s="120">
        <f t="shared" si="3"/>
        <v>1332.8</v>
      </c>
      <c r="AE32" s="121">
        <f t="shared" si="7"/>
        <v>11995.2</v>
      </c>
      <c r="AF32" s="121"/>
      <c r="AG32" s="121"/>
      <c r="AH32" s="121"/>
      <c r="AI32" s="121"/>
      <c r="AJ32" s="121"/>
      <c r="AK32" s="121"/>
      <c r="AL32" s="121">
        <f t="shared" si="0"/>
        <v>3998.4</v>
      </c>
      <c r="AM32" s="120">
        <f t="shared" si="8"/>
        <v>3998.4</v>
      </c>
      <c r="AN32" s="121">
        <f t="shared" si="8"/>
        <v>3998.4</v>
      </c>
      <c r="AO32" s="153"/>
      <c r="AP32" s="145"/>
    </row>
    <row r="33" spans="2:42">
      <c r="B33" s="25">
        <f t="shared" si="2"/>
        <v>22</v>
      </c>
      <c r="C33" s="32" t="s">
        <v>107</v>
      </c>
      <c r="D33" s="302" t="s">
        <v>108</v>
      </c>
      <c r="E33" s="28">
        <v>6</v>
      </c>
      <c r="F33" s="29"/>
      <c r="G33" s="30"/>
      <c r="H33" s="31"/>
      <c r="I33" s="63"/>
      <c r="J33" s="64"/>
      <c r="K33" s="65">
        <v>6</v>
      </c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>
        <v>1</v>
      </c>
      <c r="AA33" s="118"/>
      <c r="AB33" s="118">
        <v>1</v>
      </c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5100</v>
      </c>
      <c r="AD33" s="120">
        <f t="shared" si="3"/>
        <v>510</v>
      </c>
      <c r="AE33" s="121">
        <f t="shared" si="7"/>
        <v>4590</v>
      </c>
      <c r="AF33" s="121"/>
      <c r="AG33" s="121"/>
      <c r="AH33" s="121"/>
      <c r="AI33" s="121"/>
      <c r="AJ33" s="121"/>
      <c r="AK33" s="121"/>
      <c r="AL33" s="121">
        <f t="shared" si="0"/>
        <v>1530</v>
      </c>
      <c r="AM33" s="120">
        <f t="shared" si="8"/>
        <v>1530</v>
      </c>
      <c r="AN33" s="121">
        <f t="shared" si="8"/>
        <v>1530</v>
      </c>
      <c r="AO33" s="153"/>
      <c r="AP33" s="145"/>
    </row>
    <row r="34" spans="2:42">
      <c r="B34" s="25">
        <f t="shared" si="2"/>
        <v>23</v>
      </c>
      <c r="C34" s="32" t="s">
        <v>109</v>
      </c>
      <c r="D34" s="302" t="s">
        <v>110</v>
      </c>
      <c r="E34" s="28"/>
      <c r="F34" s="29">
        <v>1</v>
      </c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>
        <v>1</v>
      </c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9248</v>
      </c>
      <c r="AD34" s="120">
        <f t="shared" si="3"/>
        <v>924.8</v>
      </c>
      <c r="AE34" s="121">
        <f t="shared" si="7"/>
        <v>8323.2</v>
      </c>
      <c r="AF34" s="121"/>
      <c r="AG34" s="121"/>
      <c r="AH34" s="121"/>
      <c r="AI34" s="121"/>
      <c r="AJ34" s="121"/>
      <c r="AK34" s="121"/>
      <c r="AL34" s="121">
        <f t="shared" si="0"/>
        <v>2774.4</v>
      </c>
      <c r="AM34" s="120">
        <f t="shared" si="8"/>
        <v>2774.4</v>
      </c>
      <c r="AN34" s="121">
        <f t="shared" si="8"/>
        <v>2774.4</v>
      </c>
      <c r="AO34" s="153"/>
      <c r="AP34" s="145"/>
    </row>
    <row r="35" spans="2:42">
      <c r="B35" s="25">
        <f t="shared" si="2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3"/>
        <v>0</v>
      </c>
      <c r="AE35" s="121">
        <f t="shared" si="7"/>
        <v>0</v>
      </c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8"/>
        <v>0</v>
      </c>
      <c r="AN35" s="121">
        <f t="shared" si="8"/>
        <v>0</v>
      </c>
      <c r="AO35" s="153"/>
      <c r="AP35" s="145"/>
    </row>
    <row r="36" spans="2:42">
      <c r="B36" s="25">
        <f t="shared" si="2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3"/>
        <v>0</v>
      </c>
      <c r="AE36" s="121">
        <f t="shared" si="7"/>
        <v>0</v>
      </c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8"/>
        <v>0</v>
      </c>
      <c r="AN36" s="121">
        <f t="shared" si="8"/>
        <v>0</v>
      </c>
      <c r="AO36" s="153"/>
      <c r="AP36" s="145"/>
    </row>
    <row r="37" spans="2:42">
      <c r="B37" s="25">
        <f t="shared" si="2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3"/>
        <v>0</v>
      </c>
      <c r="AE37" s="121">
        <f t="shared" si="7"/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8"/>
        <v>0</v>
      </c>
      <c r="AN37" s="121">
        <f t="shared" si="8"/>
        <v>0</v>
      </c>
      <c r="AO37" s="153"/>
      <c r="AP37" s="145"/>
    </row>
    <row r="38" spans="2:42">
      <c r="B38" s="25">
        <f t="shared" si="2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3"/>
        <v>0</v>
      </c>
      <c r="AE38" s="121">
        <f t="shared" si="7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8"/>
        <v>0</v>
      </c>
      <c r="AN38" s="121">
        <f t="shared" si="8"/>
        <v>0</v>
      </c>
      <c r="AO38" s="153"/>
      <c r="AP38" s="145"/>
    </row>
    <row r="39" spans="2:42">
      <c r="B39" s="25">
        <f t="shared" si="2"/>
        <v>28</v>
      </c>
      <c r="C39" s="32"/>
      <c r="D39" s="33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3"/>
        <v>0</v>
      </c>
      <c r="AE39" s="121">
        <f t="shared" si="7"/>
        <v>0</v>
      </c>
      <c r="AF39" s="121"/>
      <c r="AG39" s="121"/>
      <c r="AH39" s="121"/>
      <c r="AI39" s="121"/>
      <c r="AJ39" s="121"/>
      <c r="AK39" s="121"/>
      <c r="AL39" s="121">
        <f t="shared" si="0"/>
        <v>0</v>
      </c>
      <c r="AM39" s="120">
        <f t="shared" si="8"/>
        <v>0</v>
      </c>
      <c r="AN39" s="121">
        <f t="shared" si="8"/>
        <v>0</v>
      </c>
      <c r="AO39" s="153"/>
      <c r="AP39" s="145"/>
    </row>
    <row r="40" spans="2:42">
      <c r="B40" s="25">
        <f t="shared" si="2"/>
        <v>29</v>
      </c>
      <c r="C40" s="26"/>
      <c r="D40" s="25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102"/>
      <c r="R40" s="97"/>
      <c r="S40" s="97"/>
      <c r="T40" s="98"/>
      <c r="U40" s="99"/>
      <c r="V40" s="99"/>
      <c r="W40" s="100"/>
      <c r="X40" s="103"/>
      <c r="Y40" s="103"/>
      <c r="Z40" s="122"/>
      <c r="AA40" s="122"/>
      <c r="AB40" s="122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3"/>
        <v>0</v>
      </c>
      <c r="AE40" s="121">
        <f t="shared" si="7"/>
        <v>0</v>
      </c>
      <c r="AF40" s="121"/>
      <c r="AG40" s="121"/>
      <c r="AH40" s="121"/>
      <c r="AI40" s="121"/>
      <c r="AJ40" s="121"/>
      <c r="AK40" s="121"/>
      <c r="AL40" s="121">
        <f t="shared" si="0"/>
        <v>0</v>
      </c>
      <c r="AM40" s="120">
        <f t="shared" si="8"/>
        <v>0</v>
      </c>
      <c r="AN40" s="121">
        <f t="shared" si="8"/>
        <v>0</v>
      </c>
      <c r="AO40" s="153"/>
      <c r="AP40" s="145"/>
    </row>
    <row r="41" spans="2:42">
      <c r="B41" s="25">
        <f t="shared" si="2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3"/>
        <v>0</v>
      </c>
      <c r="AE41" s="121">
        <f t="shared" si="7"/>
        <v>0</v>
      </c>
      <c r="AF41" s="121"/>
      <c r="AG41" s="121"/>
      <c r="AH41" s="121"/>
      <c r="AI41" s="121"/>
      <c r="AJ41" s="121"/>
      <c r="AK41" s="121"/>
      <c r="AL41" s="121">
        <f t="shared" si="0"/>
        <v>0</v>
      </c>
      <c r="AM41" s="120">
        <f t="shared" si="8"/>
        <v>0</v>
      </c>
      <c r="AN41" s="121">
        <f t="shared" si="8"/>
        <v>0</v>
      </c>
      <c r="AO41" s="153"/>
      <c r="AP41" s="145"/>
    </row>
    <row r="42" spans="2:42">
      <c r="B42" s="25">
        <f t="shared" si="2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3"/>
        <v>0</v>
      </c>
      <c r="AE42" s="121">
        <f t="shared" si="7"/>
        <v>0</v>
      </c>
      <c r="AF42" s="135"/>
      <c r="AG42" s="135"/>
      <c r="AH42" s="135"/>
      <c r="AI42" s="135"/>
      <c r="AJ42" s="135"/>
      <c r="AK42" s="135"/>
      <c r="AL42" s="123">
        <f t="shared" si="0"/>
        <v>0</v>
      </c>
      <c r="AM42" s="130">
        <f t="shared" si="8"/>
        <v>0</v>
      </c>
      <c r="AN42" s="123">
        <f t="shared" si="8"/>
        <v>0</v>
      </c>
      <c r="AO42" s="153"/>
      <c r="AP42" s="145"/>
    </row>
    <row r="43" ht="18.95" customHeight="1" spans="2:42">
      <c r="B43" s="34" t="s">
        <v>61</v>
      </c>
      <c r="C43" s="35">
        <f>COUNTA(C12:C42)</f>
        <v>23</v>
      </c>
      <c r="D43" s="36"/>
      <c r="E43" s="37">
        <f t="shared" ref="E43:AP43" si="9">SUM(E12:E42)</f>
        <v>14</v>
      </c>
      <c r="F43" s="37">
        <f t="shared" si="9"/>
        <v>12</v>
      </c>
      <c r="G43" s="38">
        <f t="shared" si="9"/>
        <v>6</v>
      </c>
      <c r="H43" s="38">
        <f t="shared" si="9"/>
        <v>0</v>
      </c>
      <c r="I43" s="70">
        <f t="shared" si="9"/>
        <v>6</v>
      </c>
      <c r="J43" s="70">
        <f t="shared" si="9"/>
        <v>0</v>
      </c>
      <c r="K43" s="71">
        <f t="shared" si="9"/>
        <v>6</v>
      </c>
      <c r="L43" s="71">
        <f t="shared" si="9"/>
        <v>0</v>
      </c>
      <c r="M43" s="72">
        <f t="shared" si="9"/>
        <v>0</v>
      </c>
      <c r="N43" s="72">
        <f t="shared" si="9"/>
        <v>0</v>
      </c>
      <c r="O43" s="71">
        <f t="shared" si="9"/>
        <v>0</v>
      </c>
      <c r="P43" s="71">
        <f t="shared" si="9"/>
        <v>1</v>
      </c>
      <c r="Q43" s="104">
        <f t="shared" si="9"/>
        <v>4</v>
      </c>
      <c r="R43" s="105">
        <f t="shared" si="9"/>
        <v>0</v>
      </c>
      <c r="S43" s="105">
        <f t="shared" si="9"/>
        <v>0</v>
      </c>
      <c r="T43" s="106">
        <f t="shared" si="9"/>
        <v>10</v>
      </c>
      <c r="U43" s="107">
        <f t="shared" si="9"/>
        <v>0</v>
      </c>
      <c r="V43" s="107">
        <f t="shared" si="9"/>
        <v>8</v>
      </c>
      <c r="W43" s="70">
        <f t="shared" si="9"/>
        <v>0</v>
      </c>
      <c r="X43" s="71">
        <f t="shared" si="9"/>
        <v>0</v>
      </c>
      <c r="Y43" s="124">
        <f t="shared" si="9"/>
        <v>3</v>
      </c>
      <c r="Z43" s="125">
        <f t="shared" si="9"/>
        <v>2</v>
      </c>
      <c r="AA43" s="125">
        <f t="shared" si="9"/>
        <v>0</v>
      </c>
      <c r="AB43" s="125">
        <f t="shared" si="9"/>
        <v>1</v>
      </c>
      <c r="AC43" s="125">
        <f t="shared" si="9"/>
        <v>125018</v>
      </c>
      <c r="AD43" s="125">
        <f t="shared" si="9"/>
        <v>12501.8</v>
      </c>
      <c r="AE43" s="125">
        <f t="shared" si="9"/>
        <v>112516.2</v>
      </c>
      <c r="AF43" s="125">
        <f t="shared" si="9"/>
        <v>0</v>
      </c>
      <c r="AG43" s="125">
        <f t="shared" si="9"/>
        <v>0</v>
      </c>
      <c r="AH43" s="125">
        <f t="shared" si="9"/>
        <v>0</v>
      </c>
      <c r="AI43" s="125">
        <f t="shared" si="9"/>
        <v>0</v>
      </c>
      <c r="AJ43" s="125">
        <f t="shared" si="9"/>
        <v>0</v>
      </c>
      <c r="AK43" s="125">
        <f t="shared" si="9"/>
        <v>0</v>
      </c>
      <c r="AL43" s="125">
        <f t="shared" si="9"/>
        <v>37505.4</v>
      </c>
      <c r="AM43" s="125">
        <f t="shared" si="9"/>
        <v>37505.4</v>
      </c>
      <c r="AN43" s="125">
        <f t="shared" si="9"/>
        <v>37505.4</v>
      </c>
      <c r="AO43" s="125">
        <f t="shared" si="9"/>
        <v>5103.8</v>
      </c>
      <c r="AP43" s="125">
        <f t="shared" si="9"/>
        <v>37756.8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204</v>
      </c>
      <c r="J46" s="40">
        <f>I46*12</f>
        <v>2448</v>
      </c>
      <c r="K46" s="40">
        <v>272</v>
      </c>
      <c r="L46" s="40">
        <f>K46*15</f>
        <v>4080</v>
      </c>
      <c r="M46" s="40">
        <v>116</v>
      </c>
      <c r="N46" s="40">
        <f>M46*6</f>
        <v>696</v>
      </c>
      <c r="O46" s="40">
        <v>272</v>
      </c>
      <c r="P46" s="40">
        <f>O46*4</f>
        <v>1088</v>
      </c>
      <c r="Q46" s="40">
        <v>1496</v>
      </c>
      <c r="R46" s="40">
        <v>272</v>
      </c>
      <c r="S46" s="40">
        <f>R46*4</f>
        <v>1088</v>
      </c>
      <c r="T46" s="40">
        <v>6800</v>
      </c>
      <c r="U46" s="40">
        <v>75</v>
      </c>
      <c r="V46" s="40">
        <f>U46*12</f>
        <v>900</v>
      </c>
      <c r="W46" s="40">
        <v>20</v>
      </c>
      <c r="X46" s="40">
        <v>68</v>
      </c>
      <c r="Y46" s="40">
        <f>X46*12</f>
        <v>816</v>
      </c>
      <c r="Z46" s="40">
        <v>1904</v>
      </c>
      <c r="AA46" s="40">
        <v>122</v>
      </c>
      <c r="AB46" s="40">
        <v>340</v>
      </c>
      <c r="AC46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B2:AP45"/>
  <sheetViews>
    <sheetView showGridLines="0" workbookViewId="0">
      <pane xSplit="3" ySplit="10" topLeftCell="D11" activePane="bottomRight" state="frozen"/>
      <selection/>
      <selection pane="topRight"/>
      <selection pane="bottomLeft"/>
      <selection pane="bottomRight" activeCell="D12" sqref="D12:D21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2" width="15.4285714285714" style="1" customWidth="1"/>
    <col min="33" max="33" width="11.8571428571429" style="1" customWidth="1"/>
    <col min="34" max="34" width="11.7142857142857" style="1" customWidth="1"/>
    <col min="35" max="35" width="10.8571428571429" style="1" customWidth="1"/>
    <col min="36" max="40" width="9.14285714285714" style="1"/>
    <col min="41" max="41" width="12.5714285714286" style="1" customWidth="1"/>
    <col min="42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30">
      <c r="C8" s="7" t="s">
        <v>19</v>
      </c>
      <c r="D8" s="5"/>
      <c r="E8" s="6"/>
      <c r="F8" s="6"/>
      <c r="G8" s="6"/>
      <c r="AD8" s="1" t="s">
        <v>111</v>
      </c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6" t="s">
        <v>58</v>
      </c>
      <c r="AP10" s="147" t="s">
        <v>59</v>
      </c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57</v>
      </c>
      <c r="AG11" s="114"/>
      <c r="AH11" s="114"/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8" t="s">
        <v>58</v>
      </c>
      <c r="AP11" s="149" t="s">
        <v>59</v>
      </c>
    </row>
    <row r="12" spans="2:42">
      <c r="B12" s="18">
        <f>B11+1</f>
        <v>1</v>
      </c>
      <c r="C12" s="19" t="s">
        <v>112</v>
      </c>
      <c r="D12" s="301" t="s">
        <v>113</v>
      </c>
      <c r="E12" s="21"/>
      <c r="F12" s="22"/>
      <c r="G12" s="23">
        <v>17</v>
      </c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(E12*E45)+(F12*F45)+(G12*G45)+(H12*H45)+(I12*I45)+(J12*J45)+(K12*K45)+(L12*L45)+(M12*M45)+(N12*N45)+(O12*O45)+(P12*P45)+(Q12*Q45)+(R12*R45)+(S12*S45)+(T12*T45)+(U12*U45)+(V12*V45)+(W12*W45)+(X12*X45)+(Y12*Y45)+(Z12*Z45)+(AA12*AA45)+(AB12*AB45)</f>
        <v>3009</v>
      </c>
      <c r="AD12" s="120">
        <f>10%*AC12</f>
        <v>300.9</v>
      </c>
      <c r="AE12" s="121">
        <f t="shared" ref="AE12:AE41" si="0">AC12-AD12</f>
        <v>2708.1</v>
      </c>
      <c r="AF12" s="121"/>
      <c r="AG12" s="121"/>
      <c r="AH12" s="121"/>
      <c r="AI12" s="121"/>
      <c r="AJ12" s="121"/>
      <c r="AK12" s="121"/>
      <c r="AL12" s="121">
        <f t="shared" ref="AL12:AL21" si="1">AE12/3</f>
        <v>902.7</v>
      </c>
      <c r="AM12" s="120">
        <f>AL12</f>
        <v>902.7</v>
      </c>
      <c r="AN12" s="121">
        <f>AM12</f>
        <v>902.7</v>
      </c>
      <c r="AO12" s="150">
        <f>AD12+AF12+AG12+AH12+AI12+AJ12+AK12</f>
        <v>300.9</v>
      </c>
      <c r="AP12" s="151">
        <f>AC12-AO12</f>
        <v>2708.1</v>
      </c>
    </row>
    <row r="13" spans="2:42">
      <c r="B13" s="25">
        <f t="shared" ref="B13:B41" si="2">B12+1</f>
        <v>2</v>
      </c>
      <c r="C13" s="26" t="s">
        <v>114</v>
      </c>
      <c r="D13" s="302" t="s">
        <v>115</v>
      </c>
      <c r="E13" s="28"/>
      <c r="F13" s="29"/>
      <c r="G13" s="30">
        <v>5</v>
      </c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(E13*E45)+(F13*F45)+(G13*G45)+(H13*H45)+(I13*I45)+(J13*J45)+(K13*K45)+(L13*L45)+(M13*M45)+(N13*N45)+(O13*O45)+(P13*P45)+(Q13*Q45)+(R13*R45)+(S13*S45)+(T13*T45)+(U13*U45)+(V13*V45)+(W13*W45)+(X13*X45)+(Y13*Y45)+(Z13*Z45)+(AA13*AA45)+(AB13*AB45)</f>
        <v>885</v>
      </c>
      <c r="AD13" s="120">
        <f t="shared" ref="AD13:AD41" si="3">10%*AC13</f>
        <v>88.5</v>
      </c>
      <c r="AE13" s="121">
        <f t="shared" si="0"/>
        <v>796.5</v>
      </c>
      <c r="AF13" s="121"/>
      <c r="AG13" s="121"/>
      <c r="AH13" s="121"/>
      <c r="AI13" s="121"/>
      <c r="AJ13" s="121"/>
      <c r="AK13" s="121"/>
      <c r="AL13" s="121">
        <f t="shared" si="1"/>
        <v>265.5</v>
      </c>
      <c r="AM13" s="120">
        <f>AL13</f>
        <v>265.5</v>
      </c>
      <c r="AN13" s="121">
        <f t="shared" ref="AM13:AN21" si="4">AM13</f>
        <v>265.5</v>
      </c>
      <c r="AO13" s="150">
        <f t="shared" ref="AO13:AO19" si="5">AD13+AF13+AG13+AH13+AI13+AJ13+AK13</f>
        <v>88.5</v>
      </c>
      <c r="AP13" s="151">
        <f t="shared" ref="AP13:AP19" si="6">AC13-AO13</f>
        <v>796.5</v>
      </c>
    </row>
    <row r="14" spans="2:42">
      <c r="B14" s="25">
        <f t="shared" si="2"/>
        <v>3</v>
      </c>
      <c r="C14" s="254" t="s">
        <v>116</v>
      </c>
      <c r="D14" s="302" t="s">
        <v>117</v>
      </c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(E14*E45)+(F14*F45)+(G14*G45)+(H14*H45)+(I14*I45)+(J14*J45)+(K14*K45)+(L14*L45)+(M14*M45)+(N14*N45)+(O14*O45)+(P14*P45)+(Q14*Q45)+(R14*R45)+(S14*S45)+(T14*T45)+(U14*U45)+(V14*V45)+(W14*W45)+(X14*X45)+(Y14*Y45)+(Z14*Z45)+(AA14*AA45)+(AB14*AB45)</f>
        <v>0</v>
      </c>
      <c r="AD14" s="120">
        <f t="shared" si="3"/>
        <v>0</v>
      </c>
      <c r="AE14" s="121">
        <f t="shared" si="0"/>
        <v>0</v>
      </c>
      <c r="AF14" s="121"/>
      <c r="AG14" s="121"/>
      <c r="AH14" s="121"/>
      <c r="AI14" s="121"/>
      <c r="AJ14" s="121"/>
      <c r="AK14" s="121"/>
      <c r="AL14" s="121">
        <f t="shared" si="1"/>
        <v>0</v>
      </c>
      <c r="AM14" s="120">
        <f t="shared" si="4"/>
        <v>0</v>
      </c>
      <c r="AN14" s="121">
        <f t="shared" si="4"/>
        <v>0</v>
      </c>
      <c r="AO14" s="150">
        <f t="shared" si="5"/>
        <v>0</v>
      </c>
      <c r="AP14" s="151">
        <f t="shared" si="6"/>
        <v>0</v>
      </c>
    </row>
    <row r="15" spans="2:42">
      <c r="B15" s="25">
        <f t="shared" si="2"/>
        <v>4</v>
      </c>
      <c r="C15" s="254" t="s">
        <v>118</v>
      </c>
      <c r="D15" s="302" t="s">
        <v>119</v>
      </c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(E15*E45)+(F15*F45)+(G15*G45)+(H15*H45)+(I15*I45)+(J15*J45)+(K15*K45)+(L15*L45)+(M15*M45)+(N15*N45)+(O15*O45)+(P15*P45)+(Q15*Q45)+(R15*R45)+(S15*S45)+(T15*T45)+(U15*U45)+(V15*V45)+(W15*W45)+(X15*X45)+(Y15*Y45)+(Z15*Z45)+(AA15*AA45)+(AB15*AB45)</f>
        <v>0</v>
      </c>
      <c r="AD15" s="120">
        <f t="shared" si="3"/>
        <v>0</v>
      </c>
      <c r="AE15" s="121">
        <f t="shared" si="0"/>
        <v>0</v>
      </c>
      <c r="AF15" s="121"/>
      <c r="AG15" s="121"/>
      <c r="AH15" s="121"/>
      <c r="AI15" s="121"/>
      <c r="AJ15" s="121"/>
      <c r="AK15" s="121"/>
      <c r="AL15" s="121">
        <f t="shared" si="1"/>
        <v>0</v>
      </c>
      <c r="AM15" s="120">
        <f t="shared" si="4"/>
        <v>0</v>
      </c>
      <c r="AN15" s="121">
        <f t="shared" si="4"/>
        <v>0</v>
      </c>
      <c r="AO15" s="150">
        <f t="shared" si="5"/>
        <v>0</v>
      </c>
      <c r="AP15" s="151">
        <f t="shared" si="6"/>
        <v>0</v>
      </c>
    </row>
    <row r="16" spans="2:42">
      <c r="B16" s="25">
        <f t="shared" si="2"/>
        <v>5</v>
      </c>
      <c r="C16" s="254" t="s">
        <v>120</v>
      </c>
      <c r="D16" s="302" t="s">
        <v>117</v>
      </c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(E16*E45)+(F16*F45)+(G16*G45)+(H16*H45)+(I16*I45)+(J16*J45)+(K16*K45)+(L16*L45)+(M16*M45)+(N16*N45)+(O16*O45)+(P16*P45)+(Q16*Q45)+(R16*R45)+(S16*S45)+(T16*T45)+(U16*U45)+(V16*V45)+(W16*W45)+(X16*X45)+(Y16*Y45)+(Z16*Z45)+(AA16*AA45)+(AB16*AB45)</f>
        <v>0</v>
      </c>
      <c r="AD16" s="120">
        <f t="shared" si="3"/>
        <v>0</v>
      </c>
      <c r="AE16" s="121">
        <f t="shared" si="0"/>
        <v>0</v>
      </c>
      <c r="AF16" s="121"/>
      <c r="AG16" s="121"/>
      <c r="AH16" s="121"/>
      <c r="AI16" s="121"/>
      <c r="AJ16" s="121"/>
      <c r="AK16" s="121"/>
      <c r="AL16" s="121">
        <f t="shared" si="1"/>
        <v>0</v>
      </c>
      <c r="AM16" s="120">
        <f t="shared" si="4"/>
        <v>0</v>
      </c>
      <c r="AN16" s="121">
        <f t="shared" si="4"/>
        <v>0</v>
      </c>
      <c r="AO16" s="150">
        <f t="shared" si="5"/>
        <v>0</v>
      </c>
      <c r="AP16" s="151">
        <f t="shared" si="6"/>
        <v>0</v>
      </c>
    </row>
    <row r="17" spans="2:42">
      <c r="B17" s="25">
        <f t="shared" si="2"/>
        <v>6</v>
      </c>
      <c r="C17" s="26" t="s">
        <v>121</v>
      </c>
      <c r="D17" s="302" t="s">
        <v>122</v>
      </c>
      <c r="E17" s="28"/>
      <c r="F17" s="29"/>
      <c r="G17" s="30"/>
      <c r="H17" s="31">
        <v>1</v>
      </c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>
        <v>1</v>
      </c>
      <c r="U17" s="99"/>
      <c r="V17" s="99"/>
      <c r="W17" s="100"/>
      <c r="X17" s="101"/>
      <c r="Y17" s="101"/>
      <c r="Z17" s="118"/>
      <c r="AA17" s="118"/>
      <c r="AB17" s="118"/>
      <c r="AC17" s="119">
        <f>(E17*E45)+(F17*F45)+(G17*G45)+(H17*H45)+(I17*I45)+(J17*J49)+(K17*K45)+(L17*L45)+(M17*M45)+(N17*N45)+(O17*O45)+(P17*P45)+(Q17*Q45)+(R17*R45)+(S17*S45)+(T17*T45)+(U17*U45)+(V17*V45)+(W17*W45)+(X17*X45)+(Y17*Y45)+(Z17*Z45)+(AA17*AA45)+(AB17*AB45)</f>
        <v>15296</v>
      </c>
      <c r="AD17" s="120">
        <f t="shared" si="3"/>
        <v>1529.6</v>
      </c>
      <c r="AE17" s="121">
        <f t="shared" si="0"/>
        <v>13766.4</v>
      </c>
      <c r="AF17" s="121"/>
      <c r="AG17" s="121"/>
      <c r="AH17" s="121"/>
      <c r="AI17" s="121"/>
      <c r="AJ17" s="121"/>
      <c r="AK17" s="121"/>
      <c r="AL17" s="121">
        <f t="shared" si="1"/>
        <v>4588.8</v>
      </c>
      <c r="AM17" s="120">
        <f t="shared" si="4"/>
        <v>4588.8</v>
      </c>
      <c r="AN17" s="121">
        <f t="shared" si="4"/>
        <v>4588.8</v>
      </c>
      <c r="AO17" s="150">
        <f t="shared" si="5"/>
        <v>1529.6</v>
      </c>
      <c r="AP17" s="151">
        <f t="shared" si="6"/>
        <v>13766.4</v>
      </c>
    </row>
    <row r="18" spans="2:42">
      <c r="B18" s="25">
        <f t="shared" si="2"/>
        <v>7</v>
      </c>
      <c r="C18" s="26" t="s">
        <v>123</v>
      </c>
      <c r="D18" s="302" t="s">
        <v>124</v>
      </c>
      <c r="E18" s="28"/>
      <c r="F18" s="29"/>
      <c r="G18" s="30">
        <v>10</v>
      </c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(E18*E45)+(F18*F45)+(G18*G45)+(H18*H45)+(I18*I45)+(J18*J45)+(K18*K45)+(L18*L45)+(M18*M45)+(N18*N45)+(O18*O45)+(P18*P45)+(Q18*Q45)+(R18*R45)+(S18*S45)+(T18*T45)+(U18*U45)+(V18*V45)+(W18*W45)+(X18*X45)+(Y18*Y45)+(Z18*Z45)+(AA18*AA45)+(AB18*AB45)</f>
        <v>1770</v>
      </c>
      <c r="AD18" s="120">
        <f t="shared" si="3"/>
        <v>177</v>
      </c>
      <c r="AE18" s="121">
        <f t="shared" si="0"/>
        <v>1593</v>
      </c>
      <c r="AF18" s="121"/>
      <c r="AG18" s="121"/>
      <c r="AH18" s="121"/>
      <c r="AI18" s="121"/>
      <c r="AJ18" s="121"/>
      <c r="AK18" s="121"/>
      <c r="AL18" s="121">
        <f t="shared" si="1"/>
        <v>531</v>
      </c>
      <c r="AM18" s="120">
        <f>AL18</f>
        <v>531</v>
      </c>
      <c r="AN18" s="121">
        <f t="shared" si="4"/>
        <v>531</v>
      </c>
      <c r="AO18" s="150">
        <f t="shared" si="5"/>
        <v>177</v>
      </c>
      <c r="AP18" s="151">
        <f t="shared" si="6"/>
        <v>1593</v>
      </c>
    </row>
    <row r="19" spans="2:42">
      <c r="B19" s="25">
        <f t="shared" si="2"/>
        <v>8</v>
      </c>
      <c r="C19" s="26" t="s">
        <v>125</v>
      </c>
      <c r="D19" s="302" t="s">
        <v>126</v>
      </c>
      <c r="E19" s="28"/>
      <c r="F19" s="29"/>
      <c r="G19" s="30">
        <v>10</v>
      </c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(E19*E45)+(F19*F45)+(G19*G45)+(H19*H45)+(I19*I45)+(J19*J45)+(K19*K45)+(L19*L45)+(M19*M45)+(N19*N45)+(O19*O45)+(P19*P45)+(Q19*Q45)+(R19*R45)+(S19*S45)+(T19*T45)+(U19*U45)+(V19*V45)+(W19*W45)+(X19*X45)+(Y19*Y45)+(Z19*Z45)+(AA19*AA45)+(AB19*AB45)</f>
        <v>1770</v>
      </c>
      <c r="AD19" s="120">
        <f t="shared" si="3"/>
        <v>177</v>
      </c>
      <c r="AE19" s="121">
        <f t="shared" si="0"/>
        <v>1593</v>
      </c>
      <c r="AF19" s="121"/>
      <c r="AG19" s="121"/>
      <c r="AH19" s="121"/>
      <c r="AI19" s="121"/>
      <c r="AJ19" s="121"/>
      <c r="AK19" s="121"/>
      <c r="AL19" s="121">
        <f t="shared" si="1"/>
        <v>531</v>
      </c>
      <c r="AM19" s="120">
        <f t="shared" si="4"/>
        <v>531</v>
      </c>
      <c r="AN19" s="121">
        <f t="shared" si="4"/>
        <v>531</v>
      </c>
      <c r="AO19" s="152">
        <f t="shared" si="5"/>
        <v>177</v>
      </c>
      <c r="AP19" s="151">
        <f t="shared" si="6"/>
        <v>1593</v>
      </c>
    </row>
    <row r="20" spans="2:42">
      <c r="B20" s="25">
        <f t="shared" si="2"/>
        <v>9</v>
      </c>
      <c r="C20" s="32" t="s">
        <v>127</v>
      </c>
      <c r="D20" s="302" t="s">
        <v>128</v>
      </c>
      <c r="E20" s="28"/>
      <c r="F20" s="29"/>
      <c r="G20" s="30">
        <v>15</v>
      </c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>
        <v>1</v>
      </c>
      <c r="U20" s="99"/>
      <c r="V20" s="99"/>
      <c r="W20" s="100"/>
      <c r="X20" s="101"/>
      <c r="Y20" s="101"/>
      <c r="Z20" s="118"/>
      <c r="AA20" s="118"/>
      <c r="AB20" s="118"/>
      <c r="AC20" s="119">
        <f>(E20*E45)+(F20*F45)+(G20*G45)+(H20*H45)+(I20*I45)+(J20*J45)+(K20*K45)+(L20*L45)+(M20*M45)+(N20*N45)+(O20*O45)+(P20*P45)+(Q20*Q45)+(R20*R45)+(S20*S45)+(T20*T45)+(U20*U45)+(V20*V45)+(W20*W45)+(X20*X45)+(Y20*Y45)+(Z20*Z45)+(AA20*AA45)+(AB20*AB45)</f>
        <v>9455</v>
      </c>
      <c r="AD20" s="120">
        <f t="shared" si="3"/>
        <v>945.5</v>
      </c>
      <c r="AE20" s="121">
        <f t="shared" si="0"/>
        <v>8509.5</v>
      </c>
      <c r="AF20" s="121"/>
      <c r="AG20" s="121"/>
      <c r="AH20" s="121"/>
      <c r="AI20" s="121"/>
      <c r="AJ20" s="121"/>
      <c r="AK20" s="121"/>
      <c r="AL20" s="121">
        <f t="shared" si="1"/>
        <v>2836.5</v>
      </c>
      <c r="AM20" s="120">
        <f t="shared" si="4"/>
        <v>2836.5</v>
      </c>
      <c r="AN20" s="121">
        <f t="shared" si="4"/>
        <v>2836.5</v>
      </c>
      <c r="AO20" s="152">
        <f t="shared" ref="AO20:AO21" si="7">AD20+AF20+AG20+AH20+AI20+AJ20+AK20</f>
        <v>945.5</v>
      </c>
      <c r="AP20" s="151">
        <f t="shared" ref="AP20:AP21" si="8">AC20-AO20</f>
        <v>8509.5</v>
      </c>
    </row>
    <row r="21" spans="2:42">
      <c r="B21" s="25">
        <f t="shared" si="2"/>
        <v>10</v>
      </c>
      <c r="C21" s="32" t="s">
        <v>129</v>
      </c>
      <c r="D21" s="302" t="s">
        <v>130</v>
      </c>
      <c r="E21" s="28"/>
      <c r="F21" s="29"/>
      <c r="G21" s="30">
        <v>2</v>
      </c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>
        <v>1</v>
      </c>
      <c r="AB21" s="118"/>
      <c r="AC21" s="119">
        <f>(E21*E45)+(F21*F45)+(G21*G45)+(H21*H45)+(I21*I45)+(J21*J45)+(K21*K45)+(L21*L45)+(M21*M45)+(N21*N45)+(O21*O45)+(P21*P45)+(Q21*Q45)+(R21*R45)+(S21*S45)+(T21*T45)+(U21*U45)+(V21*V45)+(W21*W45)+(X21*X45)+(Y21*Y45)+(Z21*Z45)+(AA21*AA45)+(AB21*AB45)</f>
        <v>476</v>
      </c>
      <c r="AD21" s="120">
        <f t="shared" si="3"/>
        <v>47.6</v>
      </c>
      <c r="AE21" s="121">
        <f t="shared" si="0"/>
        <v>428.4</v>
      </c>
      <c r="AF21" s="121"/>
      <c r="AG21" s="121"/>
      <c r="AH21" s="121"/>
      <c r="AI21" s="121"/>
      <c r="AJ21" s="121"/>
      <c r="AK21" s="121"/>
      <c r="AL21" s="121">
        <f t="shared" si="1"/>
        <v>142.8</v>
      </c>
      <c r="AM21" s="120">
        <f t="shared" si="4"/>
        <v>142.8</v>
      </c>
      <c r="AN21" s="121">
        <f t="shared" si="4"/>
        <v>142.8</v>
      </c>
      <c r="AO21" s="152">
        <f t="shared" si="7"/>
        <v>47.6</v>
      </c>
      <c r="AP21" s="151">
        <f t="shared" si="8"/>
        <v>428.4</v>
      </c>
    </row>
    <row r="22" spans="2:42">
      <c r="B22" s="25">
        <f t="shared" si="2"/>
        <v>11</v>
      </c>
      <c r="C22" s="32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(E22*E45)+(F22*F45)+(G22*G45)+(H22*H45)+(I22*I45)+(J22*J45)+(K22*K45)+(L22*L45)+(M22*M45)+(N22*N45)+(O22*O45)+(P22*P45)+(Q22*Q45)+(R22*R45)+(S22*S45)+(T22*T45)+(U22*U45)+(V22*V45)+(W22*W45)+(X22*X45)+(Y22*Y45)+(Z22*Z45)+(AA22*AA45)+(AB22*AB45)</f>
        <v>0</v>
      </c>
      <c r="AD22" s="120">
        <f t="shared" si="3"/>
        <v>0</v>
      </c>
      <c r="AE22" s="121">
        <f t="shared" si="0"/>
        <v>0</v>
      </c>
      <c r="AF22" s="121"/>
      <c r="AG22" s="121">
        <f t="shared" ref="AG22:AG41" si="9">AE22/3</f>
        <v>0</v>
      </c>
      <c r="AH22" s="120">
        <f t="shared" ref="AH22:AI27" si="10">AG22</f>
        <v>0</v>
      </c>
      <c r="AI22" s="121">
        <f t="shared" si="10"/>
        <v>0</v>
      </c>
      <c r="AJ22" s="145"/>
      <c r="AK22" s="145"/>
      <c r="AL22" s="145"/>
      <c r="AM22" s="145"/>
      <c r="AN22" s="145"/>
      <c r="AO22" s="145"/>
      <c r="AP22" s="145"/>
    </row>
    <row r="23" spans="2:42">
      <c r="B23" s="25">
        <f t="shared" si="2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(E23*E45)+(F23*F45)+(G23*G45)+(H23*H45)+(I23*I45)+(J23*J45)+(K23*K45)+(L23*L45)+(M23*M45)+(N23*N45)+(O23*O45)+(P23*P45)+(Q23*Q45)+(R23*R45)+(S23*S45)+(T23*T45)+(U23*U45)+(V23*V45)+(W23*W45)+(X23*X45)+(Y23*Y45)+(Z23*Z45)+(AA23*AA45)+(AB23*AB45)</f>
        <v>0</v>
      </c>
      <c r="AD23" s="120">
        <f t="shared" si="3"/>
        <v>0</v>
      </c>
      <c r="AE23" s="121">
        <f t="shared" si="0"/>
        <v>0</v>
      </c>
      <c r="AF23" s="121"/>
      <c r="AG23" s="121">
        <f t="shared" si="9"/>
        <v>0</v>
      </c>
      <c r="AH23" s="120">
        <f t="shared" si="10"/>
        <v>0</v>
      </c>
      <c r="AI23" s="121">
        <f t="shared" si="10"/>
        <v>0</v>
      </c>
      <c r="AJ23" s="145"/>
      <c r="AK23" s="145"/>
      <c r="AL23" s="145"/>
      <c r="AM23" s="145"/>
      <c r="AN23" s="145"/>
      <c r="AO23" s="145"/>
      <c r="AP23" s="145"/>
    </row>
    <row r="24" spans="2:42">
      <c r="B24" s="25">
        <f t="shared" si="2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(E24*E45)+(F24*F45)+(G24*G45)+(H24*H45)+(I24*I45)+(J24*J45)+(K24*J45)+(L24*L45)+(M24*M45)+(N24*N45)+(O24*O45)+(P24*P45)+(Q24*Q45)+(R24*R45)+(S24*S45)+(T24*T45)+(U24*U45)+(V24*V45)+(W24*W45)+(X24*X45)+(Y24*Y45)+(Z24*Z45)+(AA24*AA45)+(AB24*AB45)</f>
        <v>0</v>
      </c>
      <c r="AD24" s="120">
        <f t="shared" si="3"/>
        <v>0</v>
      </c>
      <c r="AE24" s="121">
        <f t="shared" si="0"/>
        <v>0</v>
      </c>
      <c r="AF24" s="121"/>
      <c r="AG24" s="121">
        <f t="shared" si="9"/>
        <v>0</v>
      </c>
      <c r="AH24" s="120">
        <f t="shared" si="10"/>
        <v>0</v>
      </c>
      <c r="AI24" s="121">
        <f t="shared" si="10"/>
        <v>0</v>
      </c>
      <c r="AJ24" s="145"/>
      <c r="AK24" s="145"/>
      <c r="AL24" s="145"/>
      <c r="AM24" s="145"/>
      <c r="AN24" s="145"/>
      <c r="AO24" s="145"/>
      <c r="AP24" s="145"/>
    </row>
    <row r="25" spans="2:42">
      <c r="B25" s="25">
        <f t="shared" si="2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(E25*E45)+(F25*F45)+(G25*G45)+(H25*H45)+(I25*I45)+(J25*J45)+(K25*K45)+(L25*L45)+(M25*M45)+(N25*N45)+(O25*O45)+(P25*P45)+(Q25*Q45)+(R25*R45)+(S25*S45)+(T25*T45)+(U25*U45)+(V25*V45)+(W25*W45)+(X25*X45)+(Y25*Y45)+(Z25*Z45)+(AA25*AA45)+(AB25*AB45)</f>
        <v>0</v>
      </c>
      <c r="AD25" s="120">
        <f t="shared" si="3"/>
        <v>0</v>
      </c>
      <c r="AE25" s="121">
        <f t="shared" si="0"/>
        <v>0</v>
      </c>
      <c r="AF25" s="121"/>
      <c r="AG25" s="121">
        <f t="shared" si="9"/>
        <v>0</v>
      </c>
      <c r="AH25" s="120">
        <f t="shared" si="10"/>
        <v>0</v>
      </c>
      <c r="AI25" s="121">
        <f t="shared" si="10"/>
        <v>0</v>
      </c>
      <c r="AJ25" s="145"/>
      <c r="AK25" s="145"/>
      <c r="AL25" s="145"/>
      <c r="AM25" s="145"/>
      <c r="AN25" s="145"/>
      <c r="AO25" s="145"/>
      <c r="AP25" s="145"/>
    </row>
    <row r="26" spans="2:42">
      <c r="B26" s="25">
        <f t="shared" si="2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(E26*E45)+(F26*F45)+(G26*G45)+(H26*H45)+(I26*I45)+(J26*J45)+(K26*K45)+(L26*L45)+(M26*M45)+(N26*N45)+(O26*O45)+(P26*P45)+(Q26*Q45)+(R26*R45)+(S26*S45)+(T26*T45)+(U26*U45)+(V26*V45)+(W26*W45)+(X26*X45)+(Y26*Y45)+(Z26*Z45)+(AA26*AA45)+(AB26*AB45)</f>
        <v>0</v>
      </c>
      <c r="AD26" s="120">
        <f t="shared" si="3"/>
        <v>0</v>
      </c>
      <c r="AE26" s="121">
        <f t="shared" si="0"/>
        <v>0</v>
      </c>
      <c r="AF26" s="121"/>
      <c r="AG26" s="121">
        <f t="shared" si="9"/>
        <v>0</v>
      </c>
      <c r="AH26" s="120">
        <f t="shared" si="10"/>
        <v>0</v>
      </c>
      <c r="AI26" s="121">
        <f t="shared" si="10"/>
        <v>0</v>
      </c>
      <c r="AJ26" s="145"/>
      <c r="AK26" s="145"/>
      <c r="AL26" s="145"/>
      <c r="AM26" s="145"/>
      <c r="AN26" s="145"/>
      <c r="AO26" s="145"/>
      <c r="AP26" s="145"/>
    </row>
    <row r="27" spans="2:42">
      <c r="B27" s="25">
        <f t="shared" si="2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(E27*E45)+(F27*F45)+(G27*G45)+(H27*H45)+(I27*I45)+(J27*J45)+(K27*J45)+(L27*L45)+(M27*M45)+(N27*N45)+(O27*O45)+(P27*P45)+(Q27*Q45)+(R27*R45)+(S27*S45)+(T27*T45)+(U27*U45)+(V27*V45)+(W27*W45)+(X27*X45)+(Y27*Y45)+(Z27*Z45)+(AA27*AA45)+(AB27*AB45)</f>
        <v>0</v>
      </c>
      <c r="AD27" s="120">
        <f t="shared" si="3"/>
        <v>0</v>
      </c>
      <c r="AE27" s="121">
        <f t="shared" si="0"/>
        <v>0</v>
      </c>
      <c r="AF27" s="121"/>
      <c r="AG27" s="121">
        <f t="shared" si="9"/>
        <v>0</v>
      </c>
      <c r="AH27" s="120">
        <f t="shared" si="10"/>
        <v>0</v>
      </c>
      <c r="AI27" s="121">
        <f t="shared" si="10"/>
        <v>0</v>
      </c>
      <c r="AJ27" s="145"/>
      <c r="AK27" s="145"/>
      <c r="AL27" s="145"/>
      <c r="AM27" s="145"/>
      <c r="AN27" s="145"/>
      <c r="AO27" s="145"/>
      <c r="AP27" s="145"/>
    </row>
    <row r="28" spans="2:42">
      <c r="B28" s="25">
        <f t="shared" si="2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(E28*E45)+(F28*F45)+(G28*G45)+(H28*H45)+(I28*I45)+(J28*J45)+(K28*K45)+(L28*L45)+(M28*M45)+(N28*N45)+(O28*O45)+(P28*P45)+(Q28*Q45)+(R28*R45)+(S28*S45)+(T28*T45)+(U28*U45)+(V28*V45)+(W28*W45)+(X28*X45)+(Y28*Y45)+(Z28*Z45)+(AA28*AA45)+(AB28*AB45)</f>
        <v>0</v>
      </c>
      <c r="AD28" s="120">
        <f t="shared" si="3"/>
        <v>0</v>
      </c>
      <c r="AE28" s="121">
        <f t="shared" si="0"/>
        <v>0</v>
      </c>
      <c r="AF28" s="121"/>
      <c r="AG28" s="121">
        <f t="shared" si="9"/>
        <v>0</v>
      </c>
      <c r="AH28" s="120">
        <f t="shared" ref="AH28:AI41" si="11">AG28</f>
        <v>0</v>
      </c>
      <c r="AI28" s="121">
        <f t="shared" si="11"/>
        <v>0</v>
      </c>
      <c r="AJ28" s="145"/>
      <c r="AK28" s="145"/>
      <c r="AL28" s="145"/>
      <c r="AM28" s="145"/>
      <c r="AN28" s="145"/>
      <c r="AO28" s="145"/>
      <c r="AP28" s="145"/>
    </row>
    <row r="29" spans="2:42">
      <c r="B29" s="25">
        <f t="shared" si="2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(E29*E45)+(F29*F45)+(G29*G45)+(H29*H45)+(I29*I45)+(J29*J45)+(K29*K45)+(L29*L45)+(M29*M45)+(N29*N45)+(O29*O45)+(P29*P45)+(Q29*Q45)+(R29*R45)+(S29*S45)+(T29*T45)+(U29*U45)+(V29*V45)+(W29*W45)+(X29*X45)+(Y29*Y45)+(Z29*Z45)+(AA29*AA45)+(AB29*AB45)</f>
        <v>0</v>
      </c>
      <c r="AD29" s="120">
        <f t="shared" si="3"/>
        <v>0</v>
      </c>
      <c r="AE29" s="121">
        <f t="shared" si="0"/>
        <v>0</v>
      </c>
      <c r="AF29" s="121"/>
      <c r="AG29" s="121">
        <f t="shared" si="9"/>
        <v>0</v>
      </c>
      <c r="AH29" s="120">
        <f t="shared" si="11"/>
        <v>0</v>
      </c>
      <c r="AI29" s="121">
        <f t="shared" si="11"/>
        <v>0</v>
      </c>
      <c r="AJ29" s="145"/>
      <c r="AK29" s="145"/>
      <c r="AL29" s="145"/>
      <c r="AM29" s="145"/>
      <c r="AN29" s="145"/>
      <c r="AO29" s="145"/>
      <c r="AP29" s="145"/>
    </row>
    <row r="30" spans="2:42">
      <c r="B30" s="25">
        <f t="shared" si="2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(E30*E45)+(F30*F45)+(G30*G45)+(H30*H45)+(I30*I45)+(J30*J45)+(K30*J45)+(L30*L45)+(M30*M45)+(N30*N45)+(O30*O45)+(P30*P45)+(Q30*Q45)+(R30*R45)+(S30*S45)+(T30*T45)+(U30*U45)+(V30*V45)+(W30*W45)+(X30*X45)+(Y30*Y45)+(Z30*Z45)+(AA30*AA45)+(AB30*AB45)</f>
        <v>0</v>
      </c>
      <c r="AD30" s="120">
        <f t="shared" si="3"/>
        <v>0</v>
      </c>
      <c r="AE30" s="121">
        <f t="shared" si="0"/>
        <v>0</v>
      </c>
      <c r="AF30" s="121"/>
      <c r="AG30" s="121">
        <f t="shared" si="9"/>
        <v>0</v>
      </c>
      <c r="AH30" s="120">
        <f t="shared" si="11"/>
        <v>0</v>
      </c>
      <c r="AI30" s="121">
        <f t="shared" si="11"/>
        <v>0</v>
      </c>
      <c r="AJ30" s="145"/>
      <c r="AK30" s="145"/>
      <c r="AL30" s="145"/>
      <c r="AM30" s="145"/>
      <c r="AN30" s="145"/>
      <c r="AO30" s="145"/>
      <c r="AP30" s="145"/>
    </row>
    <row r="31" spans="2:42">
      <c r="B31" s="25">
        <f t="shared" si="2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(E31*E45)+(F31*F45)+(G31*G45)+(H31*H45)+(I31*I45)+(J31*J45)+(K31*K45)+(L31*L45)+(M31*M45)+(N31*N45)+(O31*O45)+(P31*P45)+(Q31*Q45)+(R31*R45)+(S31*S45)+(T31*T45)+(U31*U45)+(V31*V45)+(W31*W45)+(X31*X45)+(Y31*Y45)+(Z31*Z45)+(AA31*AA45)+(AB31*AB45)</f>
        <v>0</v>
      </c>
      <c r="AD31" s="120">
        <f t="shared" si="3"/>
        <v>0</v>
      </c>
      <c r="AE31" s="121">
        <f t="shared" si="0"/>
        <v>0</v>
      </c>
      <c r="AF31" s="121"/>
      <c r="AG31" s="121">
        <f t="shared" si="9"/>
        <v>0</v>
      </c>
      <c r="AH31" s="120">
        <f t="shared" si="11"/>
        <v>0</v>
      </c>
      <c r="AI31" s="121">
        <f t="shared" si="11"/>
        <v>0</v>
      </c>
      <c r="AJ31" s="145"/>
      <c r="AK31" s="145"/>
      <c r="AL31" s="145"/>
      <c r="AM31" s="145"/>
      <c r="AN31" s="145"/>
      <c r="AO31" s="145"/>
      <c r="AP31" s="145"/>
    </row>
    <row r="32" spans="2:42">
      <c r="B32" s="25">
        <f t="shared" si="2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(E32*E45)+(F32*F45)+(G32*G45)+(H32*H45)+(I32*I45)+(J32*J45)+(K32*K45)+(L32*L45)+(M32*M45)+(N32*N45)+(O32*O45)+(P32*P45)+(Q32*Q45)+(R32*R45)+(S32*S45)+(T32*T45)+(U32*U45)+(V32*V45)+(W32*W45)+(X32*X45)+(Y32*Y45)+(Z32*Z45)+(AA32*AA45)+(AB32*AB45)</f>
        <v>0</v>
      </c>
      <c r="AD32" s="120">
        <f t="shared" si="3"/>
        <v>0</v>
      </c>
      <c r="AE32" s="121">
        <f t="shared" si="0"/>
        <v>0</v>
      </c>
      <c r="AF32" s="121"/>
      <c r="AG32" s="121">
        <f t="shared" si="9"/>
        <v>0</v>
      </c>
      <c r="AH32" s="120">
        <f t="shared" si="11"/>
        <v>0</v>
      </c>
      <c r="AI32" s="121">
        <f t="shared" si="11"/>
        <v>0</v>
      </c>
      <c r="AJ32" s="145"/>
      <c r="AK32" s="145"/>
      <c r="AL32" s="145"/>
      <c r="AM32" s="145"/>
      <c r="AN32" s="145"/>
      <c r="AO32" s="145"/>
      <c r="AP32" s="145"/>
    </row>
    <row r="33" spans="2:42">
      <c r="B33" s="25">
        <f t="shared" si="2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(E33*E45)+(F33*F45)+(G33*G45)+(H33*H45)+(I33*I45)+(J33*J45)+(K33*J45)+(L33*L45)+(M33*M45)+(N33*N45)+(O33*O45)+(P33*P45)+(Q33*Q45)+(R33*R45)+(S33*S45)+(T33*T45)+(U33*U45)+(V33*V45)+(W33*W45)+(X33*X45)+(Y33*Y45)+(Z33*Z45)+(AA33*AA45)+(AB33*AB45)</f>
        <v>0</v>
      </c>
      <c r="AD33" s="120">
        <f t="shared" si="3"/>
        <v>0</v>
      </c>
      <c r="AE33" s="121">
        <f t="shared" si="0"/>
        <v>0</v>
      </c>
      <c r="AF33" s="121"/>
      <c r="AG33" s="121">
        <f t="shared" si="9"/>
        <v>0</v>
      </c>
      <c r="AH33" s="120">
        <f t="shared" si="11"/>
        <v>0</v>
      </c>
      <c r="AI33" s="121">
        <f t="shared" si="11"/>
        <v>0</v>
      </c>
      <c r="AJ33" s="145"/>
      <c r="AK33" s="145"/>
      <c r="AL33" s="145"/>
      <c r="AM33" s="145"/>
      <c r="AN33" s="145"/>
      <c r="AO33" s="145"/>
      <c r="AP33" s="145"/>
    </row>
    <row r="34" spans="2:42">
      <c r="B34" s="25">
        <f t="shared" si="2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(E34*E45)+(F34*F45)+(G34*G45)+(H34*H45)+(I34*I45)+(J34*J45)+(K34*K45)+(L34*L45)+(M34*M45)+(N34*N45)+(O34*O45)+(P34*P45)+(Q34*Q45)+(R34*R45)+(S34*S45)+(T34*T45)+(U34*U45)+(V34*V45)+(W34*W45)+(X34*X45)+(Y34*Y45)+(Z34*Z45)+(AA34*AA45)+(AB34*AB45)</f>
        <v>0</v>
      </c>
      <c r="AD34" s="120">
        <f t="shared" si="3"/>
        <v>0</v>
      </c>
      <c r="AE34" s="121">
        <f t="shared" si="0"/>
        <v>0</v>
      </c>
      <c r="AF34" s="121"/>
      <c r="AG34" s="121">
        <f t="shared" si="9"/>
        <v>0</v>
      </c>
      <c r="AH34" s="120">
        <f t="shared" si="11"/>
        <v>0</v>
      </c>
      <c r="AI34" s="121">
        <f t="shared" si="11"/>
        <v>0</v>
      </c>
      <c r="AJ34" s="145"/>
      <c r="AK34" s="145"/>
      <c r="AL34" s="145"/>
      <c r="AM34" s="145"/>
      <c r="AN34" s="145"/>
      <c r="AO34" s="145"/>
      <c r="AP34" s="145"/>
    </row>
    <row r="35" spans="2:42">
      <c r="B35" s="25">
        <f t="shared" si="2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(E35*E45)+(F35*F45)+(G35*G45)+(H35*H45)+(I35*I45)+(J35*J45)+(K35*K45)+(L35*L45)+(M35*M45)+(N35*N45)+(O35*O45)+(P35*P45)+(Q35*Q45)+(R35*R45)+(S35*S45)+(T35*T45)+(U35*U45)+(V35*V45)+(W35*W45)+(X35*X45)+(Y35*Y45)+(Z35*Z45)+(AA35*AA45)+(AB35*AB45)</f>
        <v>0</v>
      </c>
      <c r="AD35" s="120">
        <f t="shared" si="3"/>
        <v>0</v>
      </c>
      <c r="AE35" s="121">
        <f t="shared" si="0"/>
        <v>0</v>
      </c>
      <c r="AF35" s="121"/>
      <c r="AG35" s="121">
        <f t="shared" si="9"/>
        <v>0</v>
      </c>
      <c r="AH35" s="120">
        <f t="shared" si="11"/>
        <v>0</v>
      </c>
      <c r="AI35" s="121">
        <f t="shared" si="11"/>
        <v>0</v>
      </c>
      <c r="AJ35" s="145"/>
      <c r="AK35" s="145"/>
      <c r="AL35" s="145"/>
      <c r="AM35" s="145"/>
      <c r="AN35" s="145"/>
      <c r="AO35" s="145"/>
      <c r="AP35" s="145"/>
    </row>
    <row r="36" spans="2:42">
      <c r="B36" s="25">
        <f t="shared" si="2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(E36*E45)+(F36*F45)+(G36*G45)+(H36*H45)+(I36*I45)+(J36*J45)+(K36*J45)+(L36*L45)+(M36*M45)+(N36*N45)+(O36*O45)+(P36*P45)+(Q36*Q45)+(R36*R45)+(S36*S45)+(T36*T45)+(U36*U45)+(V36*V45)+(W36*W45)+(X36*X45)+(Y36*Y45)+(Z36*Z45)+(AA36*AA45)+(AB36*AB45)</f>
        <v>0</v>
      </c>
      <c r="AD36" s="120">
        <f t="shared" si="3"/>
        <v>0</v>
      </c>
      <c r="AE36" s="121">
        <f t="shared" si="0"/>
        <v>0</v>
      </c>
      <c r="AF36" s="121"/>
      <c r="AG36" s="121">
        <f t="shared" si="9"/>
        <v>0</v>
      </c>
      <c r="AH36" s="120">
        <f t="shared" si="11"/>
        <v>0</v>
      </c>
      <c r="AI36" s="121">
        <f t="shared" si="11"/>
        <v>0</v>
      </c>
      <c r="AJ36" s="145"/>
      <c r="AK36" s="145"/>
      <c r="AL36" s="145"/>
      <c r="AM36" s="145"/>
      <c r="AN36" s="145"/>
      <c r="AO36" s="145"/>
      <c r="AP36" s="145"/>
    </row>
    <row r="37" spans="2:42">
      <c r="B37" s="25">
        <f t="shared" si="2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(E37*E45)+(F37*F45)+(G37*G45)+(H37*H45)+(I37*I45)+(J37*J45)+(K37*K45)+(L37*L45)+(M37*M45)+(N37*N45)+(O37*O45)+(P37*P45)+(Q37*Q45)+(R37*R45)+(S37*S45)+(T37*T45)+(U37*U45)+(V37*V45)+(W37*W45)+(X37*X45)+(Y37*Y45)+(Z37*Z45)+(AA37*AA45)+(AB37*AB45)</f>
        <v>0</v>
      </c>
      <c r="AD37" s="120">
        <f t="shared" si="3"/>
        <v>0</v>
      </c>
      <c r="AE37" s="121">
        <f t="shared" si="0"/>
        <v>0</v>
      </c>
      <c r="AF37" s="121"/>
      <c r="AG37" s="121">
        <f t="shared" si="9"/>
        <v>0</v>
      </c>
      <c r="AH37" s="120">
        <f t="shared" si="11"/>
        <v>0</v>
      </c>
      <c r="AI37" s="121">
        <f t="shared" si="11"/>
        <v>0</v>
      </c>
      <c r="AJ37" s="145"/>
      <c r="AK37" s="145"/>
      <c r="AL37" s="145"/>
      <c r="AM37" s="145"/>
      <c r="AN37" s="145"/>
      <c r="AO37" s="145"/>
      <c r="AP37" s="145"/>
    </row>
    <row r="38" spans="2:42">
      <c r="B38" s="25">
        <f t="shared" si="2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(E38*E45)+(F38*F45)+(G38*G45)+(H38*H45)+(I38*I45)+(J38*J45)+(K38*K45)+(L38*L45)+(M38*M45)+(N38*N45)+(O38*O45)+(P38*P45)+(Q38*Q45)+(R38*R45)+(S38*S45)+(T38*T45)+(U38*U45)+(V38*V45)+(W38*W45)+(X38*X45)+(Y38*Y45)+(Z38*Z45)+(AA38*AA45)+(AB38*AB45)</f>
        <v>0</v>
      </c>
      <c r="AD38" s="120">
        <f t="shared" si="3"/>
        <v>0</v>
      </c>
      <c r="AE38" s="121">
        <f t="shared" si="0"/>
        <v>0</v>
      </c>
      <c r="AF38" s="121"/>
      <c r="AG38" s="121">
        <f t="shared" si="9"/>
        <v>0</v>
      </c>
      <c r="AH38" s="120">
        <f t="shared" si="11"/>
        <v>0</v>
      </c>
      <c r="AI38" s="121">
        <f t="shared" si="11"/>
        <v>0</v>
      </c>
      <c r="AJ38" s="145"/>
      <c r="AK38" s="145"/>
      <c r="AL38" s="145"/>
      <c r="AM38" s="145"/>
      <c r="AN38" s="145"/>
      <c r="AO38" s="145"/>
      <c r="AP38" s="145"/>
    </row>
    <row r="39" spans="2:42">
      <c r="B39" s="25">
        <f t="shared" si="2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(E39*E45)+(F39*F45)+(G39*G45)+(H39*H45)+(I39*I45)+(J39*J45)+(K39*J45)+(L39*L45)+(M39*M45)+(N39*N45)+(O39*O45)+(P39*P45)+(Q39*Q45)+(R39*R45)+(S39*S45)+(T39*T45)+(U39*U45)+(V39*V45)+(W39*W45)+(X39*X45)+(Y39*Y45)+(Z39*Z45)+(AA39*AA45)+(AB39*AB45)</f>
        <v>0</v>
      </c>
      <c r="AD39" s="120">
        <f t="shared" si="3"/>
        <v>0</v>
      </c>
      <c r="AE39" s="121">
        <f t="shared" si="0"/>
        <v>0</v>
      </c>
      <c r="AF39" s="121"/>
      <c r="AG39" s="121">
        <f t="shared" si="9"/>
        <v>0</v>
      </c>
      <c r="AH39" s="120">
        <f t="shared" si="11"/>
        <v>0</v>
      </c>
      <c r="AI39" s="121">
        <f t="shared" si="11"/>
        <v>0</v>
      </c>
      <c r="AJ39" s="145"/>
      <c r="AK39" s="145"/>
      <c r="AL39" s="145"/>
      <c r="AM39" s="145"/>
      <c r="AN39" s="145"/>
      <c r="AO39" s="145"/>
      <c r="AP39" s="145"/>
    </row>
    <row r="40" spans="2:42">
      <c r="B40" s="25">
        <f t="shared" si="2"/>
        <v>29</v>
      </c>
      <c r="C40" s="32"/>
      <c r="D40" s="33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(E40*E45)+(F40*F45)+(G40*G45)+(H40*H45)+(I40*I45)+(J40*J45)+(K40*K45)+(L40*L45)+(M40*M45)+(N40*N45)+(O40*O45)+(P40*P45)+(Q40*Q45)+(R40*R45)+(S40*S45)+(T40*T45)+(U40*U45)+(V40*V45)+(W40*W45)+(X40*X45)+(Y40*Y45)+(Z40*Z45)+(AA40*AA45)+(AB40*AB45)</f>
        <v>0</v>
      </c>
      <c r="AD40" s="120">
        <f t="shared" si="3"/>
        <v>0</v>
      </c>
      <c r="AE40" s="121">
        <f t="shared" si="0"/>
        <v>0</v>
      </c>
      <c r="AF40" s="121"/>
      <c r="AG40" s="121">
        <f t="shared" si="9"/>
        <v>0</v>
      </c>
      <c r="AH40" s="120">
        <f t="shared" si="11"/>
        <v>0</v>
      </c>
      <c r="AI40" s="121">
        <f t="shared" si="11"/>
        <v>0</v>
      </c>
      <c r="AJ40" s="145"/>
      <c r="AK40" s="145"/>
      <c r="AL40" s="145"/>
      <c r="AM40" s="145"/>
      <c r="AN40" s="145"/>
      <c r="AO40" s="145"/>
      <c r="AP40" s="145"/>
    </row>
    <row r="41" spans="2:42">
      <c r="B41" s="25">
        <f t="shared" si="2"/>
        <v>30</v>
      </c>
      <c r="C41" s="26"/>
      <c r="D41" s="25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102"/>
      <c r="R41" s="97"/>
      <c r="S41" s="97"/>
      <c r="T41" s="98"/>
      <c r="U41" s="99"/>
      <c r="V41" s="99"/>
      <c r="W41" s="100"/>
      <c r="X41" s="103"/>
      <c r="Y41" s="103"/>
      <c r="Z41" s="122"/>
      <c r="AA41" s="122"/>
      <c r="AB41" s="122"/>
      <c r="AC41" s="119">
        <f>(E41*E45)+(F41*F45)+(G41*G45)+(H41*H45)+(I41*I45)+(J41*J45)+(K41*K45)+(L41*L45)+(M41*M45)+(N41*N45)+(O41*O45)+(P41*P45)+(Q41*Q45)+(R41*R45)+(S41*S45)+(T41*T45)+(U41*U45)+(V41*V45)+(W41*W45)+(X41*X45)+(Y41*Y45)+(Z41*Z45)+(AA41*AA45)+(AB41*AB45)</f>
        <v>0</v>
      </c>
      <c r="AD41" s="120">
        <f t="shared" si="3"/>
        <v>0</v>
      </c>
      <c r="AE41" s="121">
        <f t="shared" si="0"/>
        <v>0</v>
      </c>
      <c r="AF41" s="135"/>
      <c r="AG41" s="123">
        <f t="shared" si="9"/>
        <v>0</v>
      </c>
      <c r="AH41" s="130">
        <f t="shared" si="11"/>
        <v>0</v>
      </c>
      <c r="AI41" s="123">
        <f t="shared" si="11"/>
        <v>0</v>
      </c>
      <c r="AJ41" s="145"/>
      <c r="AK41" s="145"/>
      <c r="AL41" s="145"/>
      <c r="AM41" s="145"/>
      <c r="AN41" s="145"/>
      <c r="AO41" s="145"/>
      <c r="AP41" s="145"/>
    </row>
    <row r="42" ht="18.95" customHeight="1" spans="2:42">
      <c r="B42" s="34" t="s">
        <v>61</v>
      </c>
      <c r="C42" s="35">
        <f>COUNTA(C12:C41)</f>
        <v>10</v>
      </c>
      <c r="D42" s="36"/>
      <c r="E42" s="37">
        <f t="shared" ref="E42:AE42" si="12">SUM(E12:E41)</f>
        <v>0</v>
      </c>
      <c r="F42" s="37">
        <f t="shared" si="12"/>
        <v>0</v>
      </c>
      <c r="G42" s="38">
        <f t="shared" si="12"/>
        <v>59</v>
      </c>
      <c r="H42" s="38">
        <f t="shared" si="12"/>
        <v>1</v>
      </c>
      <c r="I42" s="70">
        <f t="shared" si="12"/>
        <v>0</v>
      </c>
      <c r="J42" s="70">
        <f t="shared" si="12"/>
        <v>0</v>
      </c>
      <c r="K42" s="71">
        <f t="shared" si="12"/>
        <v>0</v>
      </c>
      <c r="L42" s="71">
        <f t="shared" si="12"/>
        <v>0</v>
      </c>
      <c r="M42" s="72">
        <f t="shared" si="12"/>
        <v>0</v>
      </c>
      <c r="N42" s="72">
        <f t="shared" si="12"/>
        <v>0</v>
      </c>
      <c r="O42" s="71">
        <f t="shared" si="12"/>
        <v>0</v>
      </c>
      <c r="P42" s="71">
        <f t="shared" si="12"/>
        <v>0</v>
      </c>
      <c r="Q42" s="104">
        <f t="shared" si="12"/>
        <v>0</v>
      </c>
      <c r="R42" s="105">
        <f t="shared" si="12"/>
        <v>0</v>
      </c>
      <c r="S42" s="105">
        <f t="shared" si="12"/>
        <v>0</v>
      </c>
      <c r="T42" s="106">
        <f t="shared" si="12"/>
        <v>2</v>
      </c>
      <c r="U42" s="107">
        <f t="shared" si="12"/>
        <v>0</v>
      </c>
      <c r="V42" s="107">
        <f t="shared" si="12"/>
        <v>0</v>
      </c>
      <c r="W42" s="70">
        <f t="shared" si="12"/>
        <v>0</v>
      </c>
      <c r="X42" s="71">
        <f t="shared" si="12"/>
        <v>0</v>
      </c>
      <c r="Y42" s="124">
        <f t="shared" si="12"/>
        <v>0</v>
      </c>
      <c r="Z42" s="125">
        <f t="shared" si="12"/>
        <v>0</v>
      </c>
      <c r="AA42" s="125">
        <f t="shared" si="12"/>
        <v>1</v>
      </c>
      <c r="AB42" s="125">
        <f t="shared" si="12"/>
        <v>0</v>
      </c>
      <c r="AC42" s="125">
        <f t="shared" si="12"/>
        <v>32661</v>
      </c>
      <c r="AD42" s="125">
        <f t="shared" si="12"/>
        <v>3266.1</v>
      </c>
      <c r="AE42" s="125">
        <f t="shared" si="12"/>
        <v>29394.9</v>
      </c>
      <c r="AF42" s="125"/>
      <c r="AG42" s="125">
        <f>SUM(AG12:AG41)</f>
        <v>0</v>
      </c>
      <c r="AH42" s="125">
        <f>SUM(AH12:AH41)</f>
        <v>0</v>
      </c>
      <c r="AI42" s="125">
        <f>SUM(AI12:AI41)</f>
        <v>0</v>
      </c>
      <c r="AJ42" s="125">
        <f t="shared" ref="AJ42:AP42" si="13">SUM(AJ12:AJ41)</f>
        <v>0</v>
      </c>
      <c r="AK42" s="125">
        <f t="shared" si="13"/>
        <v>0</v>
      </c>
      <c r="AL42" s="125">
        <f t="shared" si="13"/>
        <v>9798.3</v>
      </c>
      <c r="AM42" s="125">
        <f t="shared" si="13"/>
        <v>9798.3</v>
      </c>
      <c r="AN42" s="125">
        <f t="shared" si="13"/>
        <v>9798.3</v>
      </c>
      <c r="AO42" s="125">
        <f t="shared" si="13"/>
        <v>3266.1</v>
      </c>
      <c r="AP42" s="125">
        <f t="shared" si="13"/>
        <v>29394.9</v>
      </c>
    </row>
    <row r="44" ht="16.5" spans="5:21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6.5" spans="2:29">
      <c r="B45" s="39"/>
      <c r="C45" s="40" t="s">
        <v>62</v>
      </c>
      <c r="D45" s="40"/>
      <c r="E45" s="40">
        <v>204</v>
      </c>
      <c r="F45" s="40">
        <f>12*E45</f>
        <v>2448</v>
      </c>
      <c r="G45" s="40">
        <v>177</v>
      </c>
      <c r="H45" s="40">
        <f>G45*48</f>
        <v>8496</v>
      </c>
      <c r="I45" s="40">
        <v>204</v>
      </c>
      <c r="J45" s="40">
        <f>I45*12</f>
        <v>2448</v>
      </c>
      <c r="K45" s="40">
        <v>177</v>
      </c>
      <c r="L45" s="40">
        <f>K45*15</f>
        <v>2655</v>
      </c>
      <c r="M45" s="40">
        <v>34</v>
      </c>
      <c r="N45" s="40">
        <f>M45*6</f>
        <v>204</v>
      </c>
      <c r="O45" s="40">
        <v>272</v>
      </c>
      <c r="P45" s="40">
        <f>O45*4</f>
        <v>1088</v>
      </c>
      <c r="Q45" s="40">
        <v>1496</v>
      </c>
      <c r="R45" s="40">
        <v>204</v>
      </c>
      <c r="S45" s="40">
        <f>R45*4</f>
        <v>816</v>
      </c>
      <c r="T45" s="40">
        <v>6800</v>
      </c>
      <c r="U45" s="40">
        <v>75</v>
      </c>
      <c r="V45" s="40">
        <f>U45*12</f>
        <v>900</v>
      </c>
      <c r="W45" s="40">
        <v>13.6</v>
      </c>
      <c r="X45" s="40">
        <v>68</v>
      </c>
      <c r="Y45" s="40">
        <f>X45*12</f>
        <v>816</v>
      </c>
      <c r="Z45" s="40">
        <v>1904</v>
      </c>
      <c r="AA45" s="40">
        <v>122</v>
      </c>
      <c r="AB45" s="40">
        <v>340</v>
      </c>
      <c r="AC45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B2:AP46"/>
  <sheetViews>
    <sheetView showGridLines="0" workbookViewId="0">
      <pane xSplit="3" ySplit="10" topLeftCell="D11" activePane="bottomRight" state="frozen"/>
      <selection/>
      <selection pane="topRight"/>
      <selection pane="bottomLeft"/>
      <selection pane="bottomRight" activeCell="D12" sqref="D12:D31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2" width="15.4285714285714" style="1" customWidth="1"/>
    <col min="33" max="33" width="11.8571428571429" style="1" customWidth="1"/>
    <col min="34" max="34" width="11.7142857142857" style="1" customWidth="1"/>
    <col min="35" max="35" width="10.8571428571429" style="1" customWidth="1"/>
    <col min="36" max="40" width="9.14285714285714" style="1"/>
    <col min="41" max="41" width="12.7142857142857" style="1" customWidth="1"/>
    <col min="42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 t="s">
        <v>131</v>
      </c>
      <c r="E8" s="6"/>
      <c r="F8" s="6"/>
      <c r="G8" s="6"/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6" t="s">
        <v>58</v>
      </c>
      <c r="AP10" s="147" t="s">
        <v>59</v>
      </c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55</v>
      </c>
      <c r="AG11" s="114" t="s">
        <v>56</v>
      </c>
      <c r="AH11" s="114" t="s">
        <v>56</v>
      </c>
      <c r="AI11" s="114" t="s">
        <v>57</v>
      </c>
      <c r="AJ11" s="114"/>
      <c r="AK11" s="114"/>
      <c r="AL11" s="34" t="s">
        <v>55</v>
      </c>
      <c r="AM11" s="141" t="s">
        <v>56</v>
      </c>
      <c r="AN11" s="34" t="s">
        <v>57</v>
      </c>
      <c r="AO11" s="146"/>
      <c r="AP11" s="147"/>
    </row>
    <row r="12" spans="2:42">
      <c r="B12" s="18">
        <f>B11+1</f>
        <v>1</v>
      </c>
      <c r="C12" s="26" t="s">
        <v>132</v>
      </c>
      <c r="D12" s="302" t="s">
        <v>133</v>
      </c>
      <c r="E12" s="28"/>
      <c r="F12" s="29">
        <v>3</v>
      </c>
      <c r="G12" s="30"/>
      <c r="H12" s="31"/>
      <c r="I12" s="63"/>
      <c r="J12" s="64"/>
      <c r="K12" s="65"/>
      <c r="L12" s="66"/>
      <c r="M12" s="67"/>
      <c r="N12" s="68"/>
      <c r="O12" s="66"/>
      <c r="P12" s="69"/>
      <c r="Q12" s="95"/>
      <c r="R12" s="96"/>
      <c r="S12" s="97"/>
      <c r="T12" s="98"/>
      <c r="U12" s="99"/>
      <c r="V12" s="99"/>
      <c r="W12" s="100"/>
      <c r="X12" s="101"/>
      <c r="Y12" s="101"/>
      <c r="Z12" s="118">
        <v>1</v>
      </c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9248</v>
      </c>
      <c r="AD12" s="120">
        <f>10%*AC12</f>
        <v>924.8</v>
      </c>
      <c r="AE12" s="121">
        <f>AC12-AD12</f>
        <v>8323.2</v>
      </c>
      <c r="AF12" s="121"/>
      <c r="AG12" s="121"/>
      <c r="AH12" s="121"/>
      <c r="AI12" s="121"/>
      <c r="AJ12" s="121"/>
      <c r="AK12" s="121"/>
      <c r="AL12" s="121">
        <f t="shared" ref="AL12:AL22" si="0">AE12/3</f>
        <v>2774.4</v>
      </c>
      <c r="AM12" s="120">
        <f>AL12</f>
        <v>2774.4</v>
      </c>
      <c r="AN12" s="121">
        <f>AM12</f>
        <v>2774.4</v>
      </c>
      <c r="AO12" s="150">
        <f>AD12+AF12+AG12+AH12+AI12+AJ12+AK12</f>
        <v>924.8</v>
      </c>
      <c r="AP12" s="151">
        <f>AC12-AO12</f>
        <v>8323.2</v>
      </c>
    </row>
    <row r="13" spans="2:42">
      <c r="B13" s="25">
        <f t="shared" ref="B13:B42" si="1">B12+1</f>
        <v>2</v>
      </c>
      <c r="C13" s="26" t="s">
        <v>134</v>
      </c>
      <c r="D13" s="302" t="s">
        <v>135</v>
      </c>
      <c r="E13" s="28"/>
      <c r="F13" s="29">
        <v>1</v>
      </c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>
        <v>1</v>
      </c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9248</v>
      </c>
      <c r="AD13" s="120">
        <f t="shared" ref="AD13:AD42" si="2">10%*AC13</f>
        <v>924.8</v>
      </c>
      <c r="AE13" s="121">
        <f t="shared" ref="AE13:AE42" si="3">AC13-AD13</f>
        <v>8323.2</v>
      </c>
      <c r="AF13" s="121"/>
      <c r="AG13" s="121"/>
      <c r="AH13" s="121"/>
      <c r="AI13" s="121"/>
      <c r="AJ13" s="121"/>
      <c r="AK13" s="121"/>
      <c r="AL13" s="121">
        <f t="shared" si="0"/>
        <v>2774.4</v>
      </c>
      <c r="AM13" s="120">
        <f>AL13</f>
        <v>2774.4</v>
      </c>
      <c r="AN13" s="121">
        <f t="shared" ref="AM13:AN22" si="4">AM13</f>
        <v>2774.4</v>
      </c>
      <c r="AO13" s="150">
        <f t="shared" ref="AO13:AO19" si="5">AD13+AF13+AG13+AH13+AI13+AJ13+AK13</f>
        <v>924.8</v>
      </c>
      <c r="AP13" s="151">
        <f t="shared" ref="AP13:AP20" si="6">AC13-AO13</f>
        <v>8323.2</v>
      </c>
    </row>
    <row r="14" spans="2:42">
      <c r="B14" s="25">
        <f t="shared" si="1"/>
        <v>3</v>
      </c>
      <c r="C14" s="26" t="s">
        <v>136</v>
      </c>
      <c r="D14" s="302" t="s">
        <v>137</v>
      </c>
      <c r="E14" s="28"/>
      <c r="F14" s="29"/>
      <c r="G14" s="30">
        <v>10</v>
      </c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1770</v>
      </c>
      <c r="AD14" s="120">
        <f t="shared" si="2"/>
        <v>177</v>
      </c>
      <c r="AE14" s="121">
        <f t="shared" si="3"/>
        <v>1593</v>
      </c>
      <c r="AF14" s="121"/>
      <c r="AG14" s="121"/>
      <c r="AH14" s="121"/>
      <c r="AI14" s="121"/>
      <c r="AJ14" s="121"/>
      <c r="AK14" s="121"/>
      <c r="AL14" s="121">
        <f t="shared" si="0"/>
        <v>531</v>
      </c>
      <c r="AM14" s="120">
        <f t="shared" si="4"/>
        <v>531</v>
      </c>
      <c r="AN14" s="121">
        <f t="shared" si="4"/>
        <v>531</v>
      </c>
      <c r="AO14" s="150">
        <f t="shared" si="5"/>
        <v>177</v>
      </c>
      <c r="AP14" s="151">
        <f t="shared" si="6"/>
        <v>1593</v>
      </c>
    </row>
    <row r="15" spans="2:42">
      <c r="B15" s="25">
        <f t="shared" si="1"/>
        <v>4</v>
      </c>
      <c r="C15" s="26" t="s">
        <v>138</v>
      </c>
      <c r="D15" s="302" t="s">
        <v>139</v>
      </c>
      <c r="E15" s="28"/>
      <c r="F15" s="29"/>
      <c r="G15" s="30">
        <v>10</v>
      </c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1770</v>
      </c>
      <c r="AD15" s="120">
        <f t="shared" si="2"/>
        <v>177</v>
      </c>
      <c r="AE15" s="121">
        <f t="shared" si="3"/>
        <v>1593</v>
      </c>
      <c r="AF15" s="121"/>
      <c r="AG15" s="121"/>
      <c r="AH15" s="121"/>
      <c r="AI15" s="121"/>
      <c r="AJ15" s="121"/>
      <c r="AK15" s="121"/>
      <c r="AL15" s="121">
        <f t="shared" si="0"/>
        <v>531</v>
      </c>
      <c r="AM15" s="120">
        <f t="shared" si="4"/>
        <v>531</v>
      </c>
      <c r="AN15" s="121">
        <f t="shared" si="4"/>
        <v>531</v>
      </c>
      <c r="AO15" s="150">
        <f t="shared" si="5"/>
        <v>177</v>
      </c>
      <c r="AP15" s="151">
        <f t="shared" si="6"/>
        <v>1593</v>
      </c>
    </row>
    <row r="16" spans="2:42">
      <c r="B16" s="25">
        <f t="shared" si="1"/>
        <v>5</v>
      </c>
      <c r="C16" s="26" t="s">
        <v>140</v>
      </c>
      <c r="D16" s="302" t="s">
        <v>141</v>
      </c>
      <c r="E16" s="28"/>
      <c r="F16" s="29"/>
      <c r="G16" s="30">
        <v>1</v>
      </c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177</v>
      </c>
      <c r="AD16" s="120">
        <f t="shared" si="2"/>
        <v>17.7</v>
      </c>
      <c r="AE16" s="121">
        <f t="shared" si="3"/>
        <v>159.3</v>
      </c>
      <c r="AF16" s="121"/>
      <c r="AG16" s="121"/>
      <c r="AH16" s="121"/>
      <c r="AI16" s="121"/>
      <c r="AJ16" s="121"/>
      <c r="AK16" s="121"/>
      <c r="AL16" s="121">
        <f t="shared" si="0"/>
        <v>53.1</v>
      </c>
      <c r="AM16" s="120">
        <f t="shared" si="4"/>
        <v>53.1</v>
      </c>
      <c r="AN16" s="121">
        <f t="shared" si="4"/>
        <v>53.1</v>
      </c>
      <c r="AO16" s="150">
        <f t="shared" si="5"/>
        <v>17.7</v>
      </c>
      <c r="AP16" s="151">
        <f t="shared" si="6"/>
        <v>159.3</v>
      </c>
    </row>
    <row r="17" spans="2:42">
      <c r="B17" s="25">
        <f t="shared" si="1"/>
        <v>6</v>
      </c>
      <c r="C17" s="26" t="s">
        <v>142</v>
      </c>
      <c r="D17" s="302" t="s">
        <v>143</v>
      </c>
      <c r="E17" s="28"/>
      <c r="F17" s="29"/>
      <c r="G17" s="30">
        <v>10</v>
      </c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1770</v>
      </c>
      <c r="AD17" s="120">
        <f t="shared" si="2"/>
        <v>177</v>
      </c>
      <c r="AE17" s="121">
        <f t="shared" si="3"/>
        <v>1593</v>
      </c>
      <c r="AF17" s="121"/>
      <c r="AG17" s="121"/>
      <c r="AH17" s="121"/>
      <c r="AI17" s="121"/>
      <c r="AJ17" s="121"/>
      <c r="AK17" s="121"/>
      <c r="AL17" s="121">
        <f t="shared" si="0"/>
        <v>531</v>
      </c>
      <c r="AM17" s="120">
        <f t="shared" si="4"/>
        <v>531</v>
      </c>
      <c r="AN17" s="121">
        <f t="shared" si="4"/>
        <v>531</v>
      </c>
      <c r="AO17" s="150">
        <f t="shared" si="5"/>
        <v>177</v>
      </c>
      <c r="AP17" s="151">
        <f t="shared" si="6"/>
        <v>1593</v>
      </c>
    </row>
    <row r="18" spans="2:42">
      <c r="B18" s="25">
        <f t="shared" si="1"/>
        <v>7</v>
      </c>
      <c r="C18" s="26" t="s">
        <v>144</v>
      </c>
      <c r="D18" s="302" t="s">
        <v>145</v>
      </c>
      <c r="E18" s="28"/>
      <c r="F18" s="29"/>
      <c r="G18" s="30">
        <v>2</v>
      </c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>
        <v>1</v>
      </c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7154</v>
      </c>
      <c r="AD18" s="120">
        <f t="shared" si="2"/>
        <v>715.4</v>
      </c>
      <c r="AE18" s="121">
        <f t="shared" si="3"/>
        <v>6438.6</v>
      </c>
      <c r="AF18" s="121"/>
      <c r="AG18" s="121"/>
      <c r="AH18" s="121"/>
      <c r="AI18" s="121"/>
      <c r="AJ18" s="121"/>
      <c r="AK18" s="121"/>
      <c r="AL18" s="121">
        <f t="shared" si="0"/>
        <v>2146.2</v>
      </c>
      <c r="AM18" s="120">
        <f>AL18</f>
        <v>2146.2</v>
      </c>
      <c r="AN18" s="121">
        <f t="shared" si="4"/>
        <v>2146.2</v>
      </c>
      <c r="AO18" s="150">
        <f t="shared" si="5"/>
        <v>715.4</v>
      </c>
      <c r="AP18" s="151">
        <f t="shared" si="6"/>
        <v>6438.6</v>
      </c>
    </row>
    <row r="19" spans="2:42">
      <c r="B19" s="25">
        <f t="shared" si="1"/>
        <v>8</v>
      </c>
      <c r="C19" s="26" t="s">
        <v>146</v>
      </c>
      <c r="D19" s="302" t="s">
        <v>147</v>
      </c>
      <c r="E19" s="28"/>
      <c r="F19" s="29"/>
      <c r="G19" s="30"/>
      <c r="H19" s="31"/>
      <c r="I19" s="63">
        <v>2</v>
      </c>
      <c r="J19" s="64"/>
      <c r="K19" s="65"/>
      <c r="L19" s="66"/>
      <c r="M19" s="67"/>
      <c r="N19" s="68"/>
      <c r="O19" s="66">
        <v>2</v>
      </c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762</v>
      </c>
      <c r="AD19" s="120">
        <f t="shared" si="2"/>
        <v>76.2</v>
      </c>
      <c r="AE19" s="121">
        <f t="shared" si="3"/>
        <v>685.8</v>
      </c>
      <c r="AF19" s="121"/>
      <c r="AG19" s="121"/>
      <c r="AH19" s="121"/>
      <c r="AI19" s="121"/>
      <c r="AJ19" s="121"/>
      <c r="AK19" s="121"/>
      <c r="AL19" s="121">
        <f t="shared" si="0"/>
        <v>228.6</v>
      </c>
      <c r="AM19" s="120">
        <f t="shared" si="4"/>
        <v>228.6</v>
      </c>
      <c r="AN19" s="121">
        <f t="shared" si="4"/>
        <v>228.6</v>
      </c>
      <c r="AO19" s="152">
        <f t="shared" si="5"/>
        <v>76.2</v>
      </c>
      <c r="AP19" s="151">
        <f t="shared" si="6"/>
        <v>685.8</v>
      </c>
    </row>
    <row r="20" spans="2:42">
      <c r="B20" s="25">
        <f t="shared" si="1"/>
        <v>9</v>
      </c>
      <c r="C20" s="26" t="s">
        <v>148</v>
      </c>
      <c r="D20" s="302" t="s">
        <v>149</v>
      </c>
      <c r="E20" s="28"/>
      <c r="F20" s="29">
        <v>1</v>
      </c>
      <c r="G20" s="30"/>
      <c r="H20" s="31"/>
      <c r="I20" s="63"/>
      <c r="J20" s="64">
        <v>2</v>
      </c>
      <c r="K20" s="65"/>
      <c r="L20" s="66"/>
      <c r="M20" s="67"/>
      <c r="N20" s="68"/>
      <c r="O20" s="66"/>
      <c r="P20" s="69"/>
      <c r="Q20" s="95"/>
      <c r="R20" s="96"/>
      <c r="S20" s="97"/>
      <c r="T20" s="98">
        <v>1</v>
      </c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13496</v>
      </c>
      <c r="AD20" s="120">
        <f t="shared" si="2"/>
        <v>1349.6</v>
      </c>
      <c r="AE20" s="121">
        <f t="shared" si="3"/>
        <v>12146.4</v>
      </c>
      <c r="AF20" s="121"/>
      <c r="AG20" s="121"/>
      <c r="AH20" s="121"/>
      <c r="AI20" s="121"/>
      <c r="AJ20" s="121"/>
      <c r="AK20" s="121"/>
      <c r="AL20" s="121">
        <f t="shared" si="0"/>
        <v>4048.8</v>
      </c>
      <c r="AM20" s="120">
        <f t="shared" si="4"/>
        <v>4048.8</v>
      </c>
      <c r="AN20" s="121">
        <f t="shared" si="4"/>
        <v>4048.8</v>
      </c>
      <c r="AO20" s="152">
        <f t="shared" ref="AO20:AO21" si="7">AD20+AF20+AG20+AH20+AI20+AJ20+AK20</f>
        <v>1349.6</v>
      </c>
      <c r="AP20" s="151">
        <f t="shared" si="6"/>
        <v>12146.4</v>
      </c>
    </row>
    <row r="21" spans="2:42">
      <c r="B21" s="25">
        <f t="shared" si="1"/>
        <v>10</v>
      </c>
      <c r="C21" s="32" t="s">
        <v>150</v>
      </c>
      <c r="D21" s="302" t="s">
        <v>151</v>
      </c>
      <c r="E21" s="28">
        <v>6</v>
      </c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>
        <v>1</v>
      </c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8024</v>
      </c>
      <c r="AD21" s="120">
        <f t="shared" si="2"/>
        <v>802.4</v>
      </c>
      <c r="AE21" s="121">
        <f t="shared" si="3"/>
        <v>7221.6</v>
      </c>
      <c r="AF21" s="121"/>
      <c r="AG21" s="121"/>
      <c r="AH21" s="120"/>
      <c r="AI21" s="121"/>
      <c r="AJ21" s="121"/>
      <c r="AK21" s="121"/>
      <c r="AL21" s="121">
        <f t="shared" si="0"/>
        <v>2407.2</v>
      </c>
      <c r="AM21" s="120">
        <f t="shared" si="4"/>
        <v>2407.2</v>
      </c>
      <c r="AN21" s="121">
        <f t="shared" si="4"/>
        <v>2407.2</v>
      </c>
      <c r="AO21" s="152">
        <f t="shared" si="7"/>
        <v>802.4</v>
      </c>
      <c r="AP21" s="151">
        <f t="shared" ref="AP21:AP22" si="8">AC21-AO21</f>
        <v>7221.6</v>
      </c>
    </row>
    <row r="22" spans="2:42">
      <c r="B22" s="25">
        <f t="shared" si="1"/>
        <v>11</v>
      </c>
      <c r="C22" s="32" t="s">
        <v>152</v>
      </c>
      <c r="D22" s="302" t="s">
        <v>153</v>
      </c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>
        <v>1</v>
      </c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6800</v>
      </c>
      <c r="AD22" s="120">
        <f t="shared" si="2"/>
        <v>680</v>
      </c>
      <c r="AE22" s="121">
        <f t="shared" si="3"/>
        <v>6120</v>
      </c>
      <c r="AF22" s="121"/>
      <c r="AG22" s="121"/>
      <c r="AH22" s="121"/>
      <c r="AI22" s="121"/>
      <c r="AJ22" s="121"/>
      <c r="AK22" s="121"/>
      <c r="AL22" s="121">
        <f t="shared" si="0"/>
        <v>2040</v>
      </c>
      <c r="AM22" s="120">
        <f t="shared" si="4"/>
        <v>2040</v>
      </c>
      <c r="AN22" s="121">
        <f t="shared" si="4"/>
        <v>2040</v>
      </c>
      <c r="AO22" s="152">
        <f t="shared" ref="AO22:AO23" si="9">AD22+AF22+AG22+AH22+AI22+AJ22+AK22</f>
        <v>680</v>
      </c>
      <c r="AP22" s="151">
        <f t="shared" si="8"/>
        <v>6120</v>
      </c>
    </row>
    <row r="23" spans="2:42">
      <c r="B23" s="25">
        <f t="shared" si="1"/>
        <v>12</v>
      </c>
      <c r="C23" s="32" t="s">
        <v>154</v>
      </c>
      <c r="D23" s="302" t="s">
        <v>153</v>
      </c>
      <c r="E23" s="28"/>
      <c r="F23" s="29"/>
      <c r="G23" s="30"/>
      <c r="H23" s="31"/>
      <c r="I23" s="63">
        <v>2</v>
      </c>
      <c r="J23" s="64"/>
      <c r="K23" s="65"/>
      <c r="L23" s="66"/>
      <c r="M23" s="67"/>
      <c r="N23" s="68"/>
      <c r="O23" s="66">
        <v>2</v>
      </c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762</v>
      </c>
      <c r="AD23" s="120">
        <f t="shared" si="2"/>
        <v>76.2</v>
      </c>
      <c r="AE23" s="121">
        <f t="shared" si="3"/>
        <v>685.8</v>
      </c>
      <c r="AF23" s="121"/>
      <c r="AG23" s="121"/>
      <c r="AH23" s="121"/>
      <c r="AI23" s="121"/>
      <c r="AJ23" s="121"/>
      <c r="AK23" s="121"/>
      <c r="AL23" s="121">
        <f t="shared" ref="AL23" si="10">AE23/3</f>
        <v>228.6</v>
      </c>
      <c r="AM23" s="120">
        <f t="shared" ref="AM23" si="11">AL23</f>
        <v>228.6</v>
      </c>
      <c r="AN23" s="121">
        <f t="shared" ref="AN23" si="12">AM23</f>
        <v>228.6</v>
      </c>
      <c r="AO23" s="152">
        <f t="shared" si="9"/>
        <v>76.2</v>
      </c>
      <c r="AP23" s="151">
        <f t="shared" ref="AP23" si="13">AC23-AO23</f>
        <v>685.8</v>
      </c>
    </row>
    <row r="24" spans="2:42">
      <c r="B24" s="25">
        <f t="shared" si="1"/>
        <v>13</v>
      </c>
      <c r="C24" s="32" t="s">
        <v>155</v>
      </c>
      <c r="D24" s="302" t="s">
        <v>156</v>
      </c>
      <c r="E24" s="28"/>
      <c r="F24" s="29">
        <v>1</v>
      </c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>
        <v>1</v>
      </c>
      <c r="R24" s="96"/>
      <c r="S24" s="97"/>
      <c r="T24" s="98"/>
      <c r="U24" s="99"/>
      <c r="V24" s="99"/>
      <c r="W24" s="100"/>
      <c r="X24" s="101"/>
      <c r="Y24" s="101">
        <v>1</v>
      </c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3536</v>
      </c>
      <c r="AD24" s="120">
        <f t="shared" si="2"/>
        <v>353.6</v>
      </c>
      <c r="AE24" s="121">
        <f t="shared" si="3"/>
        <v>3182.4</v>
      </c>
      <c r="AF24" s="121"/>
      <c r="AG24" s="121"/>
      <c r="AH24" s="120"/>
      <c r="AI24" s="121"/>
      <c r="AJ24" s="145"/>
      <c r="AK24" s="145"/>
      <c r="AL24" s="145"/>
      <c r="AM24" s="145"/>
      <c r="AN24" s="145"/>
      <c r="AO24" s="145"/>
      <c r="AP24" s="145"/>
    </row>
    <row r="25" spans="2:42">
      <c r="B25" s="25">
        <f t="shared" si="1"/>
        <v>14</v>
      </c>
      <c r="C25" s="32" t="s">
        <v>157</v>
      </c>
      <c r="D25" s="302" t="s">
        <v>158</v>
      </c>
      <c r="E25" s="28"/>
      <c r="F25" s="29">
        <v>1</v>
      </c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>
        <v>1</v>
      </c>
      <c r="U25" s="99"/>
      <c r="V25" s="99"/>
      <c r="W25" s="100"/>
      <c r="X25" s="101"/>
      <c r="Y25" s="101">
        <v>1</v>
      </c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10064</v>
      </c>
      <c r="AD25" s="120">
        <f t="shared" si="2"/>
        <v>1006.4</v>
      </c>
      <c r="AE25" s="121">
        <f t="shared" si="3"/>
        <v>9057.6</v>
      </c>
      <c r="AF25" s="121"/>
      <c r="AG25" s="121"/>
      <c r="AH25" s="120"/>
      <c r="AI25" s="121"/>
      <c r="AJ25" s="145"/>
      <c r="AK25" s="145"/>
      <c r="AL25" s="145"/>
      <c r="AM25" s="145"/>
      <c r="AN25" s="145"/>
      <c r="AO25" s="145"/>
      <c r="AP25" s="145"/>
    </row>
    <row r="26" spans="2:42">
      <c r="B26" s="25">
        <f t="shared" si="1"/>
        <v>15</v>
      </c>
      <c r="C26" s="32" t="s">
        <v>159</v>
      </c>
      <c r="D26" s="302" t="s">
        <v>160</v>
      </c>
      <c r="E26" s="28"/>
      <c r="F26" s="29"/>
      <c r="G26" s="30">
        <v>40</v>
      </c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>
        <v>1</v>
      </c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13880</v>
      </c>
      <c r="AD26" s="120">
        <f t="shared" si="2"/>
        <v>1388</v>
      </c>
      <c r="AE26" s="121">
        <f t="shared" si="3"/>
        <v>12492</v>
      </c>
      <c r="AF26" s="121"/>
      <c r="AG26" s="121"/>
      <c r="AH26" s="120"/>
      <c r="AI26" s="121"/>
      <c r="AJ26" s="145"/>
      <c r="AK26" s="145"/>
      <c r="AL26" s="145"/>
      <c r="AM26" s="145"/>
      <c r="AN26" s="145"/>
      <c r="AO26" s="145"/>
      <c r="AP26" s="145"/>
    </row>
    <row r="27" spans="2:42">
      <c r="B27" s="25">
        <f t="shared" si="1"/>
        <v>16</v>
      </c>
      <c r="C27" s="32" t="s">
        <v>161</v>
      </c>
      <c r="D27" s="302" t="s">
        <v>162</v>
      </c>
      <c r="E27" s="28"/>
      <c r="F27" s="29"/>
      <c r="G27" s="30">
        <v>24</v>
      </c>
      <c r="H27" s="31"/>
      <c r="I27" s="63"/>
      <c r="J27" s="64"/>
      <c r="K27" s="65">
        <v>8</v>
      </c>
      <c r="L27" s="66"/>
      <c r="M27" s="67"/>
      <c r="N27" s="68"/>
      <c r="O27" s="66"/>
      <c r="P27" s="69">
        <v>2</v>
      </c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7296</v>
      </c>
      <c r="AD27" s="120">
        <f t="shared" si="2"/>
        <v>729.6</v>
      </c>
      <c r="AE27" s="121">
        <f t="shared" si="3"/>
        <v>6566.4</v>
      </c>
      <c r="AF27" s="121"/>
      <c r="AG27" s="121"/>
      <c r="AH27" s="120"/>
      <c r="AI27" s="121"/>
      <c r="AJ27" s="145"/>
      <c r="AK27" s="145"/>
      <c r="AL27" s="145"/>
      <c r="AM27" s="145"/>
      <c r="AN27" s="145"/>
      <c r="AO27" s="145"/>
      <c r="AP27" s="145"/>
    </row>
    <row r="28" spans="2:42">
      <c r="B28" s="25">
        <f t="shared" si="1"/>
        <v>17</v>
      </c>
      <c r="C28" s="32" t="s">
        <v>163</v>
      </c>
      <c r="D28" s="302" t="s">
        <v>164</v>
      </c>
      <c r="E28" s="28">
        <v>6</v>
      </c>
      <c r="F28" s="29"/>
      <c r="G28" s="30"/>
      <c r="H28" s="31"/>
      <c r="I28" s="63"/>
      <c r="J28" s="64"/>
      <c r="K28" s="65"/>
      <c r="L28" s="66"/>
      <c r="M28" s="67"/>
      <c r="N28" s="68"/>
      <c r="O28" s="66">
        <v>2</v>
      </c>
      <c r="P28" s="69"/>
      <c r="Q28" s="95"/>
      <c r="R28" s="96"/>
      <c r="S28" s="97"/>
      <c r="T28" s="98">
        <v>1</v>
      </c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8432</v>
      </c>
      <c r="AD28" s="120">
        <f t="shared" si="2"/>
        <v>843.2</v>
      </c>
      <c r="AE28" s="121">
        <f t="shared" si="3"/>
        <v>7588.8</v>
      </c>
      <c r="AF28" s="121"/>
      <c r="AG28" s="121"/>
      <c r="AH28" s="120"/>
      <c r="AI28" s="121"/>
      <c r="AJ28" s="145"/>
      <c r="AK28" s="145"/>
      <c r="AL28" s="145"/>
      <c r="AM28" s="145"/>
      <c r="AN28" s="145"/>
      <c r="AO28" s="145"/>
      <c r="AP28" s="145"/>
    </row>
    <row r="29" spans="2:42">
      <c r="B29" s="25">
        <f t="shared" si="1"/>
        <v>18</v>
      </c>
      <c r="C29" s="32" t="s">
        <v>165</v>
      </c>
      <c r="D29" s="302" t="s">
        <v>166</v>
      </c>
      <c r="E29" s="28"/>
      <c r="F29" s="29"/>
      <c r="G29" s="30">
        <v>10</v>
      </c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1770</v>
      </c>
      <c r="AD29" s="120">
        <f t="shared" si="2"/>
        <v>177</v>
      </c>
      <c r="AE29" s="121">
        <f t="shared" si="3"/>
        <v>1593</v>
      </c>
      <c r="AF29" s="121"/>
      <c r="AG29" s="121"/>
      <c r="AH29" s="120"/>
      <c r="AI29" s="121"/>
      <c r="AJ29" s="145"/>
      <c r="AK29" s="145"/>
      <c r="AL29" s="145"/>
      <c r="AM29" s="145"/>
      <c r="AN29" s="145"/>
      <c r="AO29" s="145"/>
      <c r="AP29" s="145"/>
    </row>
    <row r="30" spans="2:42">
      <c r="B30" s="25">
        <f t="shared" si="1"/>
        <v>19</v>
      </c>
      <c r="C30" s="32" t="s">
        <v>167</v>
      </c>
      <c r="D30" s="302" t="s">
        <v>168</v>
      </c>
      <c r="E30" s="28"/>
      <c r="F30" s="29">
        <v>2</v>
      </c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4896</v>
      </c>
      <c r="AD30" s="120">
        <f t="shared" si="2"/>
        <v>489.6</v>
      </c>
      <c r="AE30" s="121">
        <f t="shared" si="3"/>
        <v>4406.4</v>
      </c>
      <c r="AF30" s="121"/>
      <c r="AG30" s="121"/>
      <c r="AH30" s="120"/>
      <c r="AI30" s="121"/>
      <c r="AJ30" s="145"/>
      <c r="AK30" s="145"/>
      <c r="AL30" s="145"/>
      <c r="AM30" s="145"/>
      <c r="AN30" s="145"/>
      <c r="AO30" s="145"/>
      <c r="AP30" s="145"/>
    </row>
    <row r="31" spans="2:42">
      <c r="B31" s="25">
        <f t="shared" si="1"/>
        <v>20</v>
      </c>
      <c r="C31" s="32" t="s">
        <v>169</v>
      </c>
      <c r="D31" s="302" t="s">
        <v>170</v>
      </c>
      <c r="E31" s="28">
        <v>6</v>
      </c>
      <c r="F31" s="29"/>
      <c r="G31" s="30"/>
      <c r="H31" s="31"/>
      <c r="I31" s="63"/>
      <c r="J31" s="64"/>
      <c r="K31" s="65">
        <v>8</v>
      </c>
      <c r="L31" s="66"/>
      <c r="M31" s="67"/>
      <c r="N31" s="68"/>
      <c r="O31" s="66"/>
      <c r="P31" s="69"/>
      <c r="Q31" s="95"/>
      <c r="R31" s="96"/>
      <c r="S31" s="97"/>
      <c r="T31" s="98">
        <v>1</v>
      </c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25016</v>
      </c>
      <c r="AD31" s="120">
        <f t="shared" si="2"/>
        <v>2501.6</v>
      </c>
      <c r="AE31" s="121">
        <f t="shared" si="3"/>
        <v>22514.4</v>
      </c>
      <c r="AF31" s="121"/>
      <c r="AG31" s="121"/>
      <c r="AH31" s="120"/>
      <c r="AI31" s="121"/>
      <c r="AJ31" s="145"/>
      <c r="AK31" s="145"/>
      <c r="AL31" s="145"/>
      <c r="AM31" s="145"/>
      <c r="AN31" s="145"/>
      <c r="AO31" s="145"/>
      <c r="AP31" s="145"/>
    </row>
    <row r="32" spans="2:42">
      <c r="B32" s="25">
        <f t="shared" si="1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2"/>
        <v>0</v>
      </c>
      <c r="AE32" s="121">
        <f t="shared" si="3"/>
        <v>0</v>
      </c>
      <c r="AF32" s="121"/>
      <c r="AG32" s="121"/>
      <c r="AH32" s="120"/>
      <c r="AI32" s="121"/>
      <c r="AJ32" s="145"/>
      <c r="AK32" s="145"/>
      <c r="AL32" s="145"/>
      <c r="AM32" s="145"/>
      <c r="AN32" s="145"/>
      <c r="AO32" s="145"/>
      <c r="AP32" s="145"/>
    </row>
    <row r="33" spans="2:42">
      <c r="B33" s="25">
        <f t="shared" si="1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2"/>
        <v>0</v>
      </c>
      <c r="AE33" s="121">
        <f t="shared" si="3"/>
        <v>0</v>
      </c>
      <c r="AF33" s="121"/>
      <c r="AG33" s="121">
        <f t="shared" ref="AG33:AG42" si="14">AE33/3</f>
        <v>0</v>
      </c>
      <c r="AH33" s="120">
        <f t="shared" ref="AH33:AI42" si="15">AG33</f>
        <v>0</v>
      </c>
      <c r="AI33" s="121">
        <f t="shared" si="15"/>
        <v>0</v>
      </c>
      <c r="AJ33" s="145"/>
      <c r="AK33" s="145"/>
      <c r="AL33" s="145"/>
      <c r="AM33" s="145"/>
      <c r="AN33" s="145"/>
      <c r="AO33" s="145"/>
      <c r="AP33" s="145"/>
    </row>
    <row r="34" spans="2:42">
      <c r="B34" s="25">
        <f t="shared" si="1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2"/>
        <v>0</v>
      </c>
      <c r="AE34" s="121">
        <f t="shared" si="3"/>
        <v>0</v>
      </c>
      <c r="AF34" s="121"/>
      <c r="AG34" s="121">
        <f t="shared" si="14"/>
        <v>0</v>
      </c>
      <c r="AH34" s="120">
        <f t="shared" si="15"/>
        <v>0</v>
      </c>
      <c r="AI34" s="121">
        <f t="shared" si="15"/>
        <v>0</v>
      </c>
      <c r="AJ34" s="145"/>
      <c r="AK34" s="145"/>
      <c r="AL34" s="145"/>
      <c r="AM34" s="145"/>
      <c r="AN34" s="145"/>
      <c r="AO34" s="145"/>
      <c r="AP34" s="145"/>
    </row>
    <row r="35" spans="2:42">
      <c r="B35" s="25">
        <f t="shared" si="1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2"/>
        <v>0</v>
      </c>
      <c r="AE35" s="121">
        <f t="shared" si="3"/>
        <v>0</v>
      </c>
      <c r="AF35" s="121"/>
      <c r="AG35" s="121">
        <f t="shared" si="14"/>
        <v>0</v>
      </c>
      <c r="AH35" s="120">
        <f t="shared" si="15"/>
        <v>0</v>
      </c>
      <c r="AI35" s="121">
        <f t="shared" si="15"/>
        <v>0</v>
      </c>
      <c r="AJ35" s="145"/>
      <c r="AK35" s="145"/>
      <c r="AL35" s="145"/>
      <c r="AM35" s="145"/>
      <c r="AN35" s="145"/>
      <c r="AO35" s="145"/>
      <c r="AP35" s="145"/>
    </row>
    <row r="36" spans="2:42">
      <c r="B36" s="25">
        <f t="shared" si="1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2"/>
        <v>0</v>
      </c>
      <c r="AE36" s="121">
        <f t="shared" si="3"/>
        <v>0</v>
      </c>
      <c r="AF36" s="121"/>
      <c r="AG36" s="121">
        <f t="shared" si="14"/>
        <v>0</v>
      </c>
      <c r="AH36" s="120">
        <f t="shared" si="15"/>
        <v>0</v>
      </c>
      <c r="AI36" s="121">
        <f t="shared" si="15"/>
        <v>0</v>
      </c>
      <c r="AJ36" s="145"/>
      <c r="AK36" s="145"/>
      <c r="AL36" s="145"/>
      <c r="AM36" s="145"/>
      <c r="AN36" s="145"/>
      <c r="AO36" s="145"/>
      <c r="AP36" s="145"/>
    </row>
    <row r="37" spans="2:42">
      <c r="B37" s="25">
        <f t="shared" si="1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2"/>
        <v>0</v>
      </c>
      <c r="AE37" s="121">
        <f t="shared" si="3"/>
        <v>0</v>
      </c>
      <c r="AF37" s="121"/>
      <c r="AG37" s="121">
        <f t="shared" si="14"/>
        <v>0</v>
      </c>
      <c r="AH37" s="120">
        <f t="shared" si="15"/>
        <v>0</v>
      </c>
      <c r="AI37" s="121">
        <f t="shared" si="15"/>
        <v>0</v>
      </c>
      <c r="AJ37" s="145"/>
      <c r="AK37" s="145"/>
      <c r="AL37" s="145"/>
      <c r="AM37" s="145"/>
      <c r="AN37" s="145"/>
      <c r="AO37" s="145"/>
      <c r="AP37" s="145"/>
    </row>
    <row r="38" spans="2:42">
      <c r="B38" s="25">
        <f t="shared" si="1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2"/>
        <v>0</v>
      </c>
      <c r="AE38" s="121">
        <f t="shared" si="3"/>
        <v>0</v>
      </c>
      <c r="AF38" s="121"/>
      <c r="AG38" s="121">
        <f t="shared" si="14"/>
        <v>0</v>
      </c>
      <c r="AH38" s="120">
        <f t="shared" si="15"/>
        <v>0</v>
      </c>
      <c r="AI38" s="121">
        <f t="shared" si="15"/>
        <v>0</v>
      </c>
      <c r="AJ38" s="145"/>
      <c r="AK38" s="145"/>
      <c r="AL38" s="145"/>
      <c r="AM38" s="145"/>
      <c r="AN38" s="145"/>
      <c r="AO38" s="145"/>
      <c r="AP38" s="145"/>
    </row>
    <row r="39" spans="2:42">
      <c r="B39" s="25">
        <f t="shared" si="1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2"/>
        <v>0</v>
      </c>
      <c r="AE39" s="121">
        <f t="shared" si="3"/>
        <v>0</v>
      </c>
      <c r="AF39" s="121"/>
      <c r="AG39" s="121">
        <f t="shared" si="14"/>
        <v>0</v>
      </c>
      <c r="AH39" s="120">
        <f t="shared" si="15"/>
        <v>0</v>
      </c>
      <c r="AI39" s="121">
        <f t="shared" si="15"/>
        <v>0</v>
      </c>
      <c r="AJ39" s="145"/>
      <c r="AK39" s="145"/>
      <c r="AL39" s="145"/>
      <c r="AM39" s="145"/>
      <c r="AN39" s="145"/>
      <c r="AO39" s="145"/>
      <c r="AP39" s="145"/>
    </row>
    <row r="40" spans="2:42">
      <c r="B40" s="25">
        <f t="shared" si="1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2"/>
        <v>0</v>
      </c>
      <c r="AE40" s="121">
        <f t="shared" si="3"/>
        <v>0</v>
      </c>
      <c r="AF40" s="121"/>
      <c r="AG40" s="121">
        <f t="shared" si="14"/>
        <v>0</v>
      </c>
      <c r="AH40" s="120">
        <f t="shared" si="15"/>
        <v>0</v>
      </c>
      <c r="AI40" s="121">
        <f t="shared" si="15"/>
        <v>0</v>
      </c>
      <c r="AJ40" s="145"/>
      <c r="AK40" s="145"/>
      <c r="AL40" s="145"/>
      <c r="AM40" s="145"/>
      <c r="AN40" s="145"/>
      <c r="AO40" s="145"/>
      <c r="AP40" s="145"/>
    </row>
    <row r="41" spans="2:42">
      <c r="B41" s="25">
        <f t="shared" si="1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2"/>
        <v>0</v>
      </c>
      <c r="AE41" s="121">
        <f t="shared" si="3"/>
        <v>0</v>
      </c>
      <c r="AF41" s="121"/>
      <c r="AG41" s="121">
        <f t="shared" si="14"/>
        <v>0</v>
      </c>
      <c r="AH41" s="120">
        <f t="shared" si="15"/>
        <v>0</v>
      </c>
      <c r="AI41" s="121">
        <f t="shared" si="15"/>
        <v>0</v>
      </c>
      <c r="AJ41" s="145"/>
      <c r="AK41" s="145"/>
      <c r="AL41" s="145"/>
      <c r="AM41" s="145"/>
      <c r="AN41" s="145"/>
      <c r="AO41" s="145"/>
      <c r="AP41" s="145"/>
    </row>
    <row r="42" spans="2:42">
      <c r="B42" s="25">
        <f t="shared" si="1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2"/>
        <v>0</v>
      </c>
      <c r="AE42" s="121">
        <f t="shared" si="3"/>
        <v>0</v>
      </c>
      <c r="AF42" s="135"/>
      <c r="AG42" s="123">
        <f t="shared" si="14"/>
        <v>0</v>
      </c>
      <c r="AH42" s="130">
        <f t="shared" si="15"/>
        <v>0</v>
      </c>
      <c r="AI42" s="123">
        <f t="shared" si="15"/>
        <v>0</v>
      </c>
      <c r="AJ42" s="145"/>
      <c r="AK42" s="145"/>
      <c r="AL42" s="145"/>
      <c r="AM42" s="145"/>
      <c r="AN42" s="145"/>
      <c r="AO42" s="145"/>
      <c r="AP42" s="145"/>
    </row>
    <row r="43" ht="18.95" customHeight="1" spans="2:42">
      <c r="B43" s="34" t="s">
        <v>61</v>
      </c>
      <c r="C43" s="35">
        <f>COUNTA(C12:C42)</f>
        <v>20</v>
      </c>
      <c r="D43" s="36"/>
      <c r="E43" s="37">
        <f t="shared" ref="E43:AP43" si="16">SUM(E12:E42)</f>
        <v>18</v>
      </c>
      <c r="F43" s="37">
        <f t="shared" si="16"/>
        <v>9</v>
      </c>
      <c r="G43" s="38">
        <f t="shared" si="16"/>
        <v>107</v>
      </c>
      <c r="H43" s="38">
        <f t="shared" si="16"/>
        <v>0</v>
      </c>
      <c r="I43" s="70">
        <f t="shared" si="16"/>
        <v>4</v>
      </c>
      <c r="J43" s="70">
        <f t="shared" si="16"/>
        <v>2</v>
      </c>
      <c r="K43" s="71">
        <f t="shared" si="16"/>
        <v>16</v>
      </c>
      <c r="L43" s="71">
        <f t="shared" si="16"/>
        <v>0</v>
      </c>
      <c r="M43" s="72">
        <f t="shared" si="16"/>
        <v>0</v>
      </c>
      <c r="N43" s="72">
        <f t="shared" si="16"/>
        <v>0</v>
      </c>
      <c r="O43" s="71">
        <f t="shared" si="16"/>
        <v>6</v>
      </c>
      <c r="P43" s="71">
        <f t="shared" si="16"/>
        <v>2</v>
      </c>
      <c r="Q43" s="104">
        <f t="shared" si="16"/>
        <v>1</v>
      </c>
      <c r="R43" s="105">
        <f t="shared" si="16"/>
        <v>0</v>
      </c>
      <c r="S43" s="105">
        <f t="shared" si="16"/>
        <v>0</v>
      </c>
      <c r="T43" s="106">
        <f t="shared" si="16"/>
        <v>9</v>
      </c>
      <c r="U43" s="107">
        <f t="shared" si="16"/>
        <v>0</v>
      </c>
      <c r="V43" s="107">
        <f t="shared" si="16"/>
        <v>0</v>
      </c>
      <c r="W43" s="70">
        <f t="shared" si="16"/>
        <v>0</v>
      </c>
      <c r="X43" s="71">
        <f t="shared" si="16"/>
        <v>0</v>
      </c>
      <c r="Y43" s="124">
        <f t="shared" si="16"/>
        <v>2</v>
      </c>
      <c r="Z43" s="125">
        <f t="shared" si="16"/>
        <v>1</v>
      </c>
      <c r="AA43" s="125">
        <f t="shared" si="16"/>
        <v>0</v>
      </c>
      <c r="AB43" s="125">
        <f t="shared" si="16"/>
        <v>0</v>
      </c>
      <c r="AC43" s="125">
        <f t="shared" si="16"/>
        <v>135871</v>
      </c>
      <c r="AD43" s="125">
        <f t="shared" si="16"/>
        <v>13587.1</v>
      </c>
      <c r="AE43" s="125">
        <f t="shared" si="16"/>
        <v>122283.9</v>
      </c>
      <c r="AF43" s="125"/>
      <c r="AG43" s="125">
        <f t="shared" si="16"/>
        <v>0</v>
      </c>
      <c r="AH43" s="125">
        <f t="shared" si="16"/>
        <v>0</v>
      </c>
      <c r="AI43" s="125">
        <f t="shared" si="16"/>
        <v>0</v>
      </c>
      <c r="AJ43" s="125">
        <f t="shared" si="16"/>
        <v>0</v>
      </c>
      <c r="AK43" s="125">
        <f t="shared" si="16"/>
        <v>0</v>
      </c>
      <c r="AL43" s="125">
        <f t="shared" si="16"/>
        <v>18294.3</v>
      </c>
      <c r="AM43" s="125">
        <f t="shared" si="16"/>
        <v>18294.3</v>
      </c>
      <c r="AN43" s="125">
        <f t="shared" si="16"/>
        <v>18294.3</v>
      </c>
      <c r="AO43" s="125">
        <f t="shared" si="16"/>
        <v>6098.1</v>
      </c>
      <c r="AP43" s="125">
        <f t="shared" si="16"/>
        <v>54882.9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177</v>
      </c>
      <c r="J46" s="40">
        <f>I46*12</f>
        <v>2124</v>
      </c>
      <c r="K46" s="40">
        <v>177</v>
      </c>
      <c r="L46" s="40">
        <f>K46*15</f>
        <v>2655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272</v>
      </c>
      <c r="R46" s="40">
        <v>204</v>
      </c>
      <c r="S46" s="40">
        <f>R46*4</f>
        <v>816</v>
      </c>
      <c r="T46" s="40">
        <v>6800</v>
      </c>
      <c r="U46" s="40">
        <v>75</v>
      </c>
      <c r="V46" s="40">
        <f>U46*12</f>
        <v>900</v>
      </c>
      <c r="W46" s="40">
        <v>13.6</v>
      </c>
      <c r="X46" s="40">
        <v>68</v>
      </c>
      <c r="Y46" s="40">
        <f>X46*12</f>
        <v>816</v>
      </c>
      <c r="Z46" s="40">
        <v>1904</v>
      </c>
      <c r="AA46" s="40">
        <v>122</v>
      </c>
      <c r="AB46" s="40">
        <v>340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499984740745262"/>
  </sheetPr>
  <dimension ref="B2:AP46"/>
  <sheetViews>
    <sheetView showGridLines="0" workbookViewId="0">
      <pane xSplit="3" ySplit="7" topLeftCell="D11" activePane="bottomRight" state="frozen"/>
      <selection/>
      <selection pane="topRight"/>
      <selection pane="bottomLeft"/>
      <selection pane="bottomRight" activeCell="C12" sqref="C12:C2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2" width="15.4285714285714" style="1" customWidth="1"/>
    <col min="33" max="33" width="11.8571428571429" style="1" customWidth="1"/>
    <col min="34" max="34" width="11.7142857142857" style="1" customWidth="1"/>
    <col min="35" max="35" width="10.8571428571429" style="1" customWidth="1"/>
    <col min="36" max="40" width="9.14285714285714" style="1"/>
    <col min="41" max="41" width="12.4285714285714" style="1" customWidth="1"/>
    <col min="42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 t="s">
        <v>171</v>
      </c>
      <c r="E7" s="6"/>
      <c r="F7" s="6"/>
      <c r="G7" s="6"/>
    </row>
    <row r="8" ht="18.95" customHeight="1" spans="3:7">
      <c r="C8" s="7" t="s">
        <v>19</v>
      </c>
      <c r="D8" s="5" t="s">
        <v>172</v>
      </c>
      <c r="E8" s="6"/>
      <c r="F8" s="6"/>
      <c r="G8" s="6"/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221" t="s">
        <v>24</v>
      </c>
      <c r="H10" s="222"/>
      <c r="I10" s="226" t="s">
        <v>25</v>
      </c>
      <c r="J10" s="227"/>
      <c r="K10" s="43" t="s">
        <v>26</v>
      </c>
      <c r="L10" s="44"/>
      <c r="M10" s="45" t="s">
        <v>27</v>
      </c>
      <c r="N10" s="46"/>
      <c r="O10" s="228" t="s">
        <v>28</v>
      </c>
      <c r="P10" s="229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230" t="s">
        <v>38</v>
      </c>
      <c r="AD10" s="230" t="s">
        <v>66</v>
      </c>
      <c r="AE10" s="230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253"/>
      <c r="AP10" s="145"/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231"/>
      <c r="AD11" s="231"/>
      <c r="AE11" s="231"/>
      <c r="AF11" s="114" t="s">
        <v>55</v>
      </c>
      <c r="AG11" s="114" t="s">
        <v>56</v>
      </c>
      <c r="AH11" s="114" t="s">
        <v>173</v>
      </c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6" t="s">
        <v>58</v>
      </c>
      <c r="AP11" s="147" t="s">
        <v>59</v>
      </c>
    </row>
    <row r="12" spans="2:42">
      <c r="B12" s="18">
        <f>B11+1</f>
        <v>1</v>
      </c>
      <c r="C12" s="19" t="s">
        <v>174</v>
      </c>
      <c r="D12" s="301" t="s">
        <v>175</v>
      </c>
      <c r="E12" s="21">
        <v>6</v>
      </c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1224</v>
      </c>
      <c r="AD12" s="120">
        <f>10%*AC12</f>
        <v>122.4</v>
      </c>
      <c r="AE12" s="121">
        <f>AC12-AD12</f>
        <v>1101.6</v>
      </c>
      <c r="AF12" s="121"/>
      <c r="AG12" s="121"/>
      <c r="AH12" s="121"/>
      <c r="AI12" s="121"/>
      <c r="AJ12" s="121"/>
      <c r="AK12" s="121"/>
      <c r="AL12" s="121">
        <f t="shared" ref="AL12:AL19" si="0">AE12/3</f>
        <v>367.2</v>
      </c>
      <c r="AM12" s="120">
        <f>AL12</f>
        <v>367.2</v>
      </c>
      <c r="AN12" s="121">
        <f>AM12</f>
        <v>367.2</v>
      </c>
      <c r="AO12" s="150">
        <f>AD12+AF12+AG12+AH12+AI12+AJ12+AK12</f>
        <v>122.4</v>
      </c>
      <c r="AP12" s="151">
        <f>AC12-AO12</f>
        <v>1101.6</v>
      </c>
    </row>
    <row r="13" spans="2:42">
      <c r="B13" s="25">
        <f t="shared" ref="B13:B42" si="1">B12+1</f>
        <v>2</v>
      </c>
      <c r="C13" s="26" t="s">
        <v>176</v>
      </c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>
        <v>1</v>
      </c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6800</v>
      </c>
      <c r="AD13" s="120">
        <f t="shared" ref="AD13:AD42" si="2">10%*AC13</f>
        <v>680</v>
      </c>
      <c r="AE13" s="121">
        <f t="shared" ref="AE13:AE42" si="3">AC13-AD13</f>
        <v>6120</v>
      </c>
      <c r="AF13" s="121"/>
      <c r="AG13" s="121"/>
      <c r="AH13" s="121"/>
      <c r="AI13" s="121"/>
      <c r="AJ13" s="121"/>
      <c r="AK13" s="121"/>
      <c r="AL13" s="121">
        <f t="shared" si="0"/>
        <v>2040</v>
      </c>
      <c r="AM13" s="120">
        <f>AL13</f>
        <v>2040</v>
      </c>
      <c r="AN13" s="121">
        <f t="shared" ref="AM13:AN19" si="4">AM13</f>
        <v>2040</v>
      </c>
      <c r="AO13" s="150">
        <f t="shared" ref="AO13:AO19" si="5">AD13+AF13+AG13+AH13+AI13+AJ13+AK13</f>
        <v>680</v>
      </c>
      <c r="AP13" s="151">
        <f t="shared" ref="AP13:AP19" si="6">AC13-AO13</f>
        <v>6120</v>
      </c>
    </row>
    <row r="14" spans="2:42">
      <c r="B14" s="25">
        <f t="shared" si="1"/>
        <v>3</v>
      </c>
      <c r="C14" s="26" t="s">
        <v>177</v>
      </c>
      <c r="D14" s="302" t="s">
        <v>178</v>
      </c>
      <c r="E14" s="28"/>
      <c r="F14" s="29"/>
      <c r="G14" s="30">
        <v>24</v>
      </c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>
        <v>1</v>
      </c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11048</v>
      </c>
      <c r="AD14" s="120">
        <f t="shared" si="2"/>
        <v>1104.8</v>
      </c>
      <c r="AE14" s="121">
        <f t="shared" si="3"/>
        <v>9943.2</v>
      </c>
      <c r="AF14" s="121"/>
      <c r="AG14" s="121"/>
      <c r="AH14" s="121"/>
      <c r="AI14" s="121"/>
      <c r="AJ14" s="121"/>
      <c r="AK14" s="121"/>
      <c r="AL14" s="121">
        <f t="shared" si="0"/>
        <v>3314.4</v>
      </c>
      <c r="AM14" s="120">
        <f t="shared" si="4"/>
        <v>3314.4</v>
      </c>
      <c r="AN14" s="121">
        <f t="shared" si="4"/>
        <v>3314.4</v>
      </c>
      <c r="AO14" s="150">
        <f t="shared" si="5"/>
        <v>1104.8</v>
      </c>
      <c r="AP14" s="151">
        <f t="shared" si="6"/>
        <v>9943.2</v>
      </c>
    </row>
    <row r="15" spans="2:42">
      <c r="B15" s="25">
        <f t="shared" si="1"/>
        <v>4</v>
      </c>
      <c r="C15" s="26" t="s">
        <v>179</v>
      </c>
      <c r="D15" s="27"/>
      <c r="E15" s="28"/>
      <c r="F15" s="29"/>
      <c r="G15" s="30"/>
      <c r="H15" s="31">
        <v>1</v>
      </c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8496</v>
      </c>
      <c r="AD15" s="120">
        <f t="shared" si="2"/>
        <v>849.6</v>
      </c>
      <c r="AE15" s="121">
        <f t="shared" si="3"/>
        <v>7646.4</v>
      </c>
      <c r="AF15" s="121"/>
      <c r="AG15" s="121"/>
      <c r="AH15" s="121"/>
      <c r="AI15" s="121"/>
      <c r="AJ15" s="121"/>
      <c r="AK15" s="121"/>
      <c r="AL15" s="121">
        <f t="shared" si="0"/>
        <v>2548.8</v>
      </c>
      <c r="AM15" s="120">
        <f t="shared" si="4"/>
        <v>2548.8</v>
      </c>
      <c r="AN15" s="121">
        <f t="shared" si="4"/>
        <v>2548.8</v>
      </c>
      <c r="AO15" s="150">
        <f t="shared" si="5"/>
        <v>849.6</v>
      </c>
      <c r="AP15" s="151">
        <f t="shared" si="6"/>
        <v>7646.4</v>
      </c>
    </row>
    <row r="16" spans="2:42">
      <c r="B16" s="25">
        <f t="shared" si="1"/>
        <v>5</v>
      </c>
      <c r="C16" s="26" t="s">
        <v>180</v>
      </c>
      <c r="D16" s="302" t="s">
        <v>181</v>
      </c>
      <c r="E16" s="28">
        <v>6</v>
      </c>
      <c r="F16" s="29"/>
      <c r="G16" s="30">
        <v>6</v>
      </c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>
        <v>1</v>
      </c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9086</v>
      </c>
      <c r="AD16" s="120">
        <f t="shared" si="2"/>
        <v>908.6</v>
      </c>
      <c r="AE16" s="121">
        <f t="shared" si="3"/>
        <v>8177.4</v>
      </c>
      <c r="AF16" s="121"/>
      <c r="AG16" s="121"/>
      <c r="AH16" s="121"/>
      <c r="AI16" s="121"/>
      <c r="AJ16" s="121"/>
      <c r="AK16" s="121"/>
      <c r="AL16" s="121">
        <f t="shared" si="0"/>
        <v>2725.8</v>
      </c>
      <c r="AM16" s="120">
        <f t="shared" si="4"/>
        <v>2725.8</v>
      </c>
      <c r="AN16" s="121">
        <f t="shared" si="4"/>
        <v>2725.8</v>
      </c>
      <c r="AO16" s="150">
        <f t="shared" si="5"/>
        <v>908.6</v>
      </c>
      <c r="AP16" s="151">
        <f t="shared" si="6"/>
        <v>8177.4</v>
      </c>
    </row>
    <row r="17" spans="2:42">
      <c r="B17" s="25">
        <f t="shared" si="1"/>
        <v>6</v>
      </c>
      <c r="C17" s="26" t="s">
        <v>182</v>
      </c>
      <c r="D17" s="302" t="s">
        <v>183</v>
      </c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>
        <v>1</v>
      </c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6800</v>
      </c>
      <c r="AD17" s="120">
        <f t="shared" si="2"/>
        <v>680</v>
      </c>
      <c r="AE17" s="121">
        <f t="shared" si="3"/>
        <v>6120</v>
      </c>
      <c r="AF17" s="121"/>
      <c r="AG17" s="121"/>
      <c r="AH17" s="121"/>
      <c r="AI17" s="121"/>
      <c r="AJ17" s="121"/>
      <c r="AK17" s="121"/>
      <c r="AL17" s="121">
        <f t="shared" si="0"/>
        <v>2040</v>
      </c>
      <c r="AM17" s="120">
        <f t="shared" si="4"/>
        <v>2040</v>
      </c>
      <c r="AN17" s="121">
        <f t="shared" si="4"/>
        <v>2040</v>
      </c>
      <c r="AO17" s="150">
        <f t="shared" si="5"/>
        <v>680</v>
      </c>
      <c r="AP17" s="151">
        <f t="shared" si="6"/>
        <v>6120</v>
      </c>
    </row>
    <row r="18" spans="2:42">
      <c r="B18" s="25">
        <f t="shared" si="1"/>
        <v>7</v>
      </c>
      <c r="C18" s="26" t="s">
        <v>184</v>
      </c>
      <c r="D18" s="302" t="s">
        <v>185</v>
      </c>
      <c r="E18" s="28"/>
      <c r="F18" s="29">
        <v>1</v>
      </c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2448</v>
      </c>
      <c r="AD18" s="120">
        <f t="shared" si="2"/>
        <v>244.8</v>
      </c>
      <c r="AE18" s="121">
        <f t="shared" si="3"/>
        <v>2203.2</v>
      </c>
      <c r="AF18" s="121"/>
      <c r="AG18" s="121"/>
      <c r="AH18" s="121"/>
      <c r="AI18" s="121"/>
      <c r="AJ18" s="121"/>
      <c r="AK18" s="121"/>
      <c r="AL18" s="121">
        <f t="shared" si="0"/>
        <v>734.4</v>
      </c>
      <c r="AM18" s="120">
        <f>AL18</f>
        <v>734.4</v>
      </c>
      <c r="AN18" s="121">
        <f t="shared" si="4"/>
        <v>734.4</v>
      </c>
      <c r="AO18" s="150">
        <f t="shared" si="5"/>
        <v>244.8</v>
      </c>
      <c r="AP18" s="151">
        <f t="shared" si="6"/>
        <v>2203.2</v>
      </c>
    </row>
    <row r="19" spans="2:42">
      <c r="B19" s="25">
        <f t="shared" si="1"/>
        <v>8</v>
      </c>
      <c r="C19" s="26" t="s">
        <v>186</v>
      </c>
      <c r="D19" s="302" t="s">
        <v>187</v>
      </c>
      <c r="E19" s="28"/>
      <c r="F19" s="29">
        <v>1</v>
      </c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2448</v>
      </c>
      <c r="AD19" s="120">
        <f t="shared" si="2"/>
        <v>244.8</v>
      </c>
      <c r="AE19" s="121">
        <f t="shared" si="3"/>
        <v>2203.2</v>
      </c>
      <c r="AF19" s="121"/>
      <c r="AG19" s="121"/>
      <c r="AH19" s="121"/>
      <c r="AI19" s="121"/>
      <c r="AJ19" s="121"/>
      <c r="AK19" s="121"/>
      <c r="AL19" s="121">
        <f t="shared" si="0"/>
        <v>734.4</v>
      </c>
      <c r="AM19" s="120">
        <f t="shared" si="4"/>
        <v>734.4</v>
      </c>
      <c r="AN19" s="121">
        <f t="shared" si="4"/>
        <v>734.4</v>
      </c>
      <c r="AO19" s="152">
        <f t="shared" si="5"/>
        <v>244.8</v>
      </c>
      <c r="AP19" s="151">
        <f t="shared" si="6"/>
        <v>2203.2</v>
      </c>
    </row>
    <row r="20" spans="2:42">
      <c r="B20" s="25">
        <f t="shared" si="1"/>
        <v>9</v>
      </c>
      <c r="C20" s="26" t="s">
        <v>188</v>
      </c>
      <c r="D20" s="302" t="s">
        <v>189</v>
      </c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>
        <v>1</v>
      </c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6800</v>
      </c>
      <c r="AD20" s="120">
        <f t="shared" si="2"/>
        <v>680</v>
      </c>
      <c r="AE20" s="121">
        <f t="shared" si="3"/>
        <v>6120</v>
      </c>
      <c r="AF20" s="121"/>
      <c r="AG20" s="121"/>
      <c r="AH20" s="120"/>
      <c r="AI20" s="121">
        <f t="shared" ref="AH20:AI28" si="7">AH20</f>
        <v>0</v>
      </c>
      <c r="AJ20" s="145"/>
      <c r="AK20" s="145"/>
      <c r="AL20" s="145"/>
      <c r="AM20" s="145"/>
      <c r="AN20" s="145"/>
      <c r="AO20" s="145"/>
      <c r="AP20" s="145"/>
    </row>
    <row r="21" spans="2:42">
      <c r="B21" s="25">
        <f t="shared" si="1"/>
        <v>10</v>
      </c>
      <c r="C21" s="26" t="s">
        <v>190</v>
      </c>
      <c r="D21" s="302" t="s">
        <v>191</v>
      </c>
      <c r="E21" s="28"/>
      <c r="F21" s="29">
        <v>1</v>
      </c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2448</v>
      </c>
      <c r="AD21" s="120">
        <f t="shared" si="2"/>
        <v>244.8</v>
      </c>
      <c r="AE21" s="121">
        <f t="shared" si="3"/>
        <v>2203.2</v>
      </c>
      <c r="AF21" s="121"/>
      <c r="AG21" s="121"/>
      <c r="AH21" s="120"/>
      <c r="AI21" s="121"/>
      <c r="AJ21" s="145"/>
      <c r="AK21" s="145"/>
      <c r="AL21" s="145"/>
      <c r="AM21" s="145"/>
      <c r="AN21" s="145"/>
      <c r="AO21" s="145"/>
      <c r="AP21" s="145"/>
    </row>
    <row r="22" spans="2:42">
      <c r="B22" s="25">
        <f t="shared" si="1"/>
        <v>11</v>
      </c>
      <c r="C22" s="26" t="s">
        <v>192</v>
      </c>
      <c r="D22" s="302" t="s">
        <v>193</v>
      </c>
      <c r="E22" s="28"/>
      <c r="F22" s="29">
        <v>1</v>
      </c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>
        <v>1</v>
      </c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9248</v>
      </c>
      <c r="AD22" s="120">
        <f t="shared" si="2"/>
        <v>924.8</v>
      </c>
      <c r="AE22" s="121">
        <f t="shared" si="3"/>
        <v>8323.2</v>
      </c>
      <c r="AF22" s="121"/>
      <c r="AG22" s="121"/>
      <c r="AH22" s="120"/>
      <c r="AI22" s="121"/>
      <c r="AJ22" s="145"/>
      <c r="AK22" s="145"/>
      <c r="AL22" s="145"/>
      <c r="AM22" s="145"/>
      <c r="AN22" s="145"/>
      <c r="AO22" s="145"/>
      <c r="AP22" s="145"/>
    </row>
    <row r="23" spans="2:42">
      <c r="B23" s="25">
        <f t="shared" si="1"/>
        <v>12</v>
      </c>
      <c r="C23" s="32" t="s">
        <v>194</v>
      </c>
      <c r="D23" s="302" t="s">
        <v>185</v>
      </c>
      <c r="E23" s="28"/>
      <c r="F23" s="29"/>
      <c r="G23" s="30">
        <v>6</v>
      </c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>
        <v>1</v>
      </c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7862</v>
      </c>
      <c r="AD23" s="120">
        <f t="shared" si="2"/>
        <v>786.2</v>
      </c>
      <c r="AE23" s="121">
        <f t="shared" si="3"/>
        <v>7075.8</v>
      </c>
      <c r="AF23" s="121"/>
      <c r="AG23" s="121"/>
      <c r="AH23" s="120"/>
      <c r="AI23" s="121"/>
      <c r="AJ23" s="145"/>
      <c r="AK23" s="145"/>
      <c r="AL23" s="145"/>
      <c r="AM23" s="145"/>
      <c r="AN23" s="145"/>
      <c r="AO23" s="145"/>
      <c r="AP23" s="145"/>
    </row>
    <row r="24" spans="2:42">
      <c r="B24" s="25">
        <f t="shared" si="1"/>
        <v>13</v>
      </c>
      <c r="C24" s="32" t="s">
        <v>195</v>
      </c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>
        <v>1</v>
      </c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6800</v>
      </c>
      <c r="AD24" s="120">
        <f t="shared" si="2"/>
        <v>680</v>
      </c>
      <c r="AE24" s="121">
        <f t="shared" si="3"/>
        <v>6120</v>
      </c>
      <c r="AF24" s="121"/>
      <c r="AG24" s="121"/>
      <c r="AH24" s="120"/>
      <c r="AI24" s="121"/>
      <c r="AJ24" s="145"/>
      <c r="AK24" s="145"/>
      <c r="AL24" s="145"/>
      <c r="AM24" s="145"/>
      <c r="AN24" s="145"/>
      <c r="AO24" s="145"/>
      <c r="AP24" s="145"/>
    </row>
    <row r="25" spans="2:42">
      <c r="B25" s="25">
        <f t="shared" si="1"/>
        <v>14</v>
      </c>
      <c r="C25" s="225" t="s">
        <v>196</v>
      </c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>
        <v>1</v>
      </c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6800</v>
      </c>
      <c r="AD25" s="120">
        <f t="shared" si="2"/>
        <v>680</v>
      </c>
      <c r="AE25" s="121">
        <f t="shared" si="3"/>
        <v>6120</v>
      </c>
      <c r="AF25" s="121"/>
      <c r="AG25" s="121"/>
      <c r="AH25" s="120"/>
      <c r="AI25" s="121"/>
      <c r="AJ25" s="145"/>
      <c r="AK25" s="145"/>
      <c r="AL25" s="145"/>
      <c r="AM25" s="145"/>
      <c r="AN25" s="145"/>
      <c r="AO25" s="145"/>
      <c r="AP25" s="145"/>
    </row>
    <row r="26" spans="2:42">
      <c r="B26" s="25">
        <f t="shared" si="1"/>
        <v>15</v>
      </c>
      <c r="C26" s="32" t="s">
        <v>197</v>
      </c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>
        <v>1</v>
      </c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6800</v>
      </c>
      <c r="AD26" s="120">
        <f t="shared" si="2"/>
        <v>680</v>
      </c>
      <c r="AE26" s="121">
        <f t="shared" si="3"/>
        <v>6120</v>
      </c>
      <c r="AF26" s="121"/>
      <c r="AG26" s="121"/>
      <c r="AH26" s="120"/>
      <c r="AI26" s="121"/>
      <c r="AJ26" s="145"/>
      <c r="AK26" s="145"/>
      <c r="AL26" s="145"/>
      <c r="AM26" s="145"/>
      <c r="AN26" s="145"/>
      <c r="AO26" s="145"/>
      <c r="AP26" s="145"/>
    </row>
    <row r="27" spans="2:42">
      <c r="B27" s="25">
        <f t="shared" si="1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2"/>
        <v>0</v>
      </c>
      <c r="AE27" s="121">
        <f t="shared" si="3"/>
        <v>0</v>
      </c>
      <c r="AF27" s="121"/>
      <c r="AG27" s="121"/>
      <c r="AH27" s="120"/>
      <c r="AI27" s="121"/>
      <c r="AJ27" s="145"/>
      <c r="AK27" s="145"/>
      <c r="AL27" s="145"/>
      <c r="AM27" s="145"/>
      <c r="AN27" s="145"/>
      <c r="AO27" s="145"/>
      <c r="AP27" s="145"/>
    </row>
    <row r="28" spans="2:42">
      <c r="B28" s="25">
        <f t="shared" si="1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2"/>
        <v>0</v>
      </c>
      <c r="AE28" s="121">
        <f t="shared" si="3"/>
        <v>0</v>
      </c>
      <c r="AF28" s="121"/>
      <c r="AG28" s="121">
        <f t="shared" ref="AG28:AG42" si="8">AE28/3</f>
        <v>0</v>
      </c>
      <c r="AH28" s="120">
        <f t="shared" si="7"/>
        <v>0</v>
      </c>
      <c r="AI28" s="121">
        <f t="shared" si="7"/>
        <v>0</v>
      </c>
      <c r="AJ28" s="145"/>
      <c r="AK28" s="145"/>
      <c r="AL28" s="145"/>
      <c r="AM28" s="145"/>
      <c r="AN28" s="145"/>
      <c r="AO28" s="145"/>
      <c r="AP28" s="145"/>
    </row>
    <row r="29" spans="2:42">
      <c r="B29" s="25">
        <f t="shared" si="1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2"/>
        <v>0</v>
      </c>
      <c r="AE29" s="121">
        <f t="shared" si="3"/>
        <v>0</v>
      </c>
      <c r="AF29" s="121"/>
      <c r="AG29" s="121">
        <f t="shared" si="8"/>
        <v>0</v>
      </c>
      <c r="AH29" s="120">
        <f t="shared" ref="AH29:AI42" si="9">AG29</f>
        <v>0</v>
      </c>
      <c r="AI29" s="121">
        <f t="shared" si="9"/>
        <v>0</v>
      </c>
      <c r="AJ29" s="145"/>
      <c r="AK29" s="145"/>
      <c r="AL29" s="145"/>
      <c r="AM29" s="145"/>
      <c r="AN29" s="145"/>
      <c r="AO29" s="145"/>
      <c r="AP29" s="145"/>
    </row>
    <row r="30" spans="2:42">
      <c r="B30" s="25">
        <f t="shared" si="1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2"/>
        <v>0</v>
      </c>
      <c r="AE30" s="121">
        <f t="shared" si="3"/>
        <v>0</v>
      </c>
      <c r="AF30" s="121"/>
      <c r="AG30" s="121">
        <f t="shared" si="8"/>
        <v>0</v>
      </c>
      <c r="AH30" s="120">
        <f t="shared" si="9"/>
        <v>0</v>
      </c>
      <c r="AI30" s="121">
        <f t="shared" si="9"/>
        <v>0</v>
      </c>
      <c r="AJ30" s="145"/>
      <c r="AK30" s="145"/>
      <c r="AL30" s="145"/>
      <c r="AM30" s="145"/>
      <c r="AN30" s="145"/>
      <c r="AO30" s="145"/>
      <c r="AP30" s="145"/>
    </row>
    <row r="31" spans="2:42">
      <c r="B31" s="25">
        <f t="shared" si="1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2"/>
        <v>0</v>
      </c>
      <c r="AE31" s="121">
        <f t="shared" si="3"/>
        <v>0</v>
      </c>
      <c r="AF31" s="121"/>
      <c r="AG31" s="121">
        <f t="shared" si="8"/>
        <v>0</v>
      </c>
      <c r="AH31" s="120">
        <f t="shared" si="9"/>
        <v>0</v>
      </c>
      <c r="AI31" s="121">
        <f t="shared" si="9"/>
        <v>0</v>
      </c>
      <c r="AJ31" s="145"/>
      <c r="AK31" s="145"/>
      <c r="AL31" s="145"/>
      <c r="AM31" s="145"/>
      <c r="AN31" s="145"/>
      <c r="AO31" s="145"/>
      <c r="AP31" s="145"/>
    </row>
    <row r="32" spans="2:42">
      <c r="B32" s="25">
        <f t="shared" si="1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/>
      <c r="AD32" s="120"/>
      <c r="AE32" s="121"/>
      <c r="AF32" s="121"/>
      <c r="AG32" s="121">
        <f t="shared" si="8"/>
        <v>0</v>
      </c>
      <c r="AH32" s="120">
        <f t="shared" si="9"/>
        <v>0</v>
      </c>
      <c r="AI32" s="121">
        <f t="shared" si="9"/>
        <v>0</v>
      </c>
      <c r="AJ32" s="145"/>
      <c r="AK32" s="145"/>
      <c r="AL32" s="145"/>
      <c r="AM32" s="145"/>
      <c r="AN32" s="145"/>
      <c r="AO32" s="145"/>
      <c r="AP32" s="145"/>
    </row>
    <row r="33" spans="2:42">
      <c r="B33" s="25">
        <f t="shared" si="1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(E33*E46)+(F33*F46)+(G33*G46)+(H33*H46)+(I33*I46)+(J33*J46)+(K33*K46)+(L33*L46)+(M33*M46)+(N33*N46)+(O33*O46)+(P33*P46)+(Q33*Q46)+(R33*R46)+(S33*S46)+(T33*T46)+(U32*U46)+(V33*V46)+(W33*W46)+(X33*X46)+(Y33*Y46)+(Z33*Z46)+(AA33*AA46)+(AB33*AB46)</f>
        <v>0</v>
      </c>
      <c r="AD33" s="120">
        <f t="shared" si="2"/>
        <v>0</v>
      </c>
      <c r="AE33" s="121">
        <f t="shared" si="3"/>
        <v>0</v>
      </c>
      <c r="AF33" s="121"/>
      <c r="AG33" s="121">
        <f t="shared" si="8"/>
        <v>0</v>
      </c>
      <c r="AH33" s="120">
        <f t="shared" si="9"/>
        <v>0</v>
      </c>
      <c r="AI33" s="121">
        <f t="shared" si="9"/>
        <v>0</v>
      </c>
      <c r="AJ33" s="145"/>
      <c r="AK33" s="145"/>
      <c r="AL33" s="145"/>
      <c r="AM33" s="145"/>
      <c r="AN33" s="145"/>
      <c r="AO33" s="145"/>
      <c r="AP33" s="145"/>
    </row>
    <row r="34" spans="2:42">
      <c r="B34" s="25">
        <f t="shared" si="1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2"/>
        <v>0</v>
      </c>
      <c r="AE34" s="121">
        <f t="shared" si="3"/>
        <v>0</v>
      </c>
      <c r="AF34" s="121"/>
      <c r="AG34" s="121">
        <f t="shared" si="8"/>
        <v>0</v>
      </c>
      <c r="AH34" s="120">
        <f t="shared" si="9"/>
        <v>0</v>
      </c>
      <c r="AI34" s="121">
        <f t="shared" si="9"/>
        <v>0</v>
      </c>
      <c r="AJ34" s="145"/>
      <c r="AK34" s="145"/>
      <c r="AL34" s="145"/>
      <c r="AM34" s="145"/>
      <c r="AN34" s="145"/>
      <c r="AO34" s="145"/>
      <c r="AP34" s="145"/>
    </row>
    <row r="35" spans="2:42">
      <c r="B35" s="25">
        <f t="shared" si="1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2"/>
        <v>0</v>
      </c>
      <c r="AE35" s="121">
        <f t="shared" si="3"/>
        <v>0</v>
      </c>
      <c r="AF35" s="121"/>
      <c r="AG35" s="121">
        <f t="shared" si="8"/>
        <v>0</v>
      </c>
      <c r="AH35" s="120">
        <f t="shared" si="9"/>
        <v>0</v>
      </c>
      <c r="AI35" s="121">
        <f t="shared" si="9"/>
        <v>0</v>
      </c>
      <c r="AJ35" s="145"/>
      <c r="AK35" s="145"/>
      <c r="AL35" s="145"/>
      <c r="AM35" s="145"/>
      <c r="AN35" s="145"/>
      <c r="AO35" s="145"/>
      <c r="AP35" s="145"/>
    </row>
    <row r="36" spans="2:42">
      <c r="B36" s="25">
        <f t="shared" si="1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2"/>
        <v>0</v>
      </c>
      <c r="AE36" s="121">
        <f t="shared" si="3"/>
        <v>0</v>
      </c>
      <c r="AF36" s="121"/>
      <c r="AG36" s="121">
        <f t="shared" si="8"/>
        <v>0</v>
      </c>
      <c r="AH36" s="120">
        <f t="shared" si="9"/>
        <v>0</v>
      </c>
      <c r="AI36" s="121">
        <f t="shared" si="9"/>
        <v>0</v>
      </c>
      <c r="AJ36" s="145"/>
      <c r="AK36" s="145"/>
      <c r="AL36" s="145"/>
      <c r="AM36" s="145"/>
      <c r="AN36" s="145"/>
      <c r="AO36" s="145"/>
      <c r="AP36" s="145"/>
    </row>
    <row r="37" spans="2:42">
      <c r="B37" s="25">
        <f t="shared" si="1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2"/>
        <v>0</v>
      </c>
      <c r="AE37" s="121">
        <f t="shared" si="3"/>
        <v>0</v>
      </c>
      <c r="AF37" s="121"/>
      <c r="AG37" s="121">
        <f t="shared" si="8"/>
        <v>0</v>
      </c>
      <c r="AH37" s="120">
        <f t="shared" si="9"/>
        <v>0</v>
      </c>
      <c r="AI37" s="121">
        <f t="shared" si="9"/>
        <v>0</v>
      </c>
      <c r="AJ37" s="145"/>
      <c r="AK37" s="145"/>
      <c r="AL37" s="145"/>
      <c r="AM37" s="145"/>
      <c r="AN37" s="145"/>
      <c r="AO37" s="145"/>
      <c r="AP37" s="145"/>
    </row>
    <row r="38" spans="2:42">
      <c r="B38" s="25">
        <f t="shared" si="1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2"/>
        <v>0</v>
      </c>
      <c r="AE38" s="121">
        <f t="shared" si="3"/>
        <v>0</v>
      </c>
      <c r="AF38" s="121"/>
      <c r="AG38" s="121">
        <f t="shared" si="8"/>
        <v>0</v>
      </c>
      <c r="AH38" s="120">
        <f t="shared" si="9"/>
        <v>0</v>
      </c>
      <c r="AI38" s="121">
        <f t="shared" si="9"/>
        <v>0</v>
      </c>
      <c r="AJ38" s="145"/>
      <c r="AK38" s="145"/>
      <c r="AL38" s="145"/>
      <c r="AM38" s="145"/>
      <c r="AN38" s="145"/>
      <c r="AO38" s="145"/>
      <c r="AP38" s="145"/>
    </row>
    <row r="39" spans="2:42">
      <c r="B39" s="25">
        <f t="shared" si="1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2"/>
        <v>0</v>
      </c>
      <c r="AE39" s="121">
        <f t="shared" si="3"/>
        <v>0</v>
      </c>
      <c r="AF39" s="121"/>
      <c r="AG39" s="121">
        <f t="shared" si="8"/>
        <v>0</v>
      </c>
      <c r="AH39" s="120">
        <f t="shared" si="9"/>
        <v>0</v>
      </c>
      <c r="AI39" s="121">
        <f t="shared" si="9"/>
        <v>0</v>
      </c>
      <c r="AJ39" s="145"/>
      <c r="AK39" s="145"/>
      <c r="AL39" s="145"/>
      <c r="AM39" s="145"/>
      <c r="AN39" s="145"/>
      <c r="AO39" s="145"/>
      <c r="AP39" s="145"/>
    </row>
    <row r="40" spans="2:42">
      <c r="B40" s="25">
        <f t="shared" si="1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2"/>
        <v>0</v>
      </c>
      <c r="AE40" s="121">
        <f t="shared" si="3"/>
        <v>0</v>
      </c>
      <c r="AF40" s="121"/>
      <c r="AG40" s="121">
        <f t="shared" si="8"/>
        <v>0</v>
      </c>
      <c r="AH40" s="120">
        <f t="shared" si="9"/>
        <v>0</v>
      </c>
      <c r="AI40" s="121">
        <f t="shared" si="9"/>
        <v>0</v>
      </c>
      <c r="AJ40" s="145"/>
      <c r="AK40" s="145"/>
      <c r="AL40" s="145"/>
      <c r="AM40" s="145"/>
      <c r="AN40" s="145"/>
      <c r="AO40" s="145"/>
      <c r="AP40" s="145"/>
    </row>
    <row r="41" spans="2:42">
      <c r="B41" s="25">
        <f t="shared" si="1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2"/>
        <v>0</v>
      </c>
      <c r="AE41" s="121">
        <f t="shared" si="3"/>
        <v>0</v>
      </c>
      <c r="AF41" s="121"/>
      <c r="AG41" s="121">
        <f t="shared" si="8"/>
        <v>0</v>
      </c>
      <c r="AH41" s="120">
        <f t="shared" si="9"/>
        <v>0</v>
      </c>
      <c r="AI41" s="121">
        <f t="shared" si="9"/>
        <v>0</v>
      </c>
      <c r="AJ41" s="145"/>
      <c r="AK41" s="145"/>
      <c r="AL41" s="145"/>
      <c r="AM41" s="145"/>
      <c r="AN41" s="145"/>
      <c r="AO41" s="145"/>
      <c r="AP41" s="145"/>
    </row>
    <row r="42" spans="2:42">
      <c r="B42" s="25">
        <f t="shared" si="1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2"/>
        <v>0</v>
      </c>
      <c r="AE42" s="121">
        <f t="shared" si="3"/>
        <v>0</v>
      </c>
      <c r="AF42" s="135"/>
      <c r="AG42" s="123">
        <f t="shared" si="8"/>
        <v>0</v>
      </c>
      <c r="AH42" s="130">
        <f t="shared" si="9"/>
        <v>0</v>
      </c>
      <c r="AI42" s="123">
        <f t="shared" si="9"/>
        <v>0</v>
      </c>
      <c r="AJ42" s="145"/>
      <c r="AK42" s="145"/>
      <c r="AL42" s="145"/>
      <c r="AM42" s="145"/>
      <c r="AN42" s="145"/>
      <c r="AO42" s="145"/>
      <c r="AP42" s="145"/>
    </row>
    <row r="43" ht="18.95" customHeight="1" spans="2:42">
      <c r="B43" s="34" t="s">
        <v>61</v>
      </c>
      <c r="C43" s="35">
        <f>COUNTA(C12:C42)</f>
        <v>15</v>
      </c>
      <c r="D43" s="36"/>
      <c r="E43" s="37">
        <f t="shared" ref="E43:AP43" si="10">SUM(E12:E42)</f>
        <v>12</v>
      </c>
      <c r="F43" s="37">
        <f t="shared" si="10"/>
        <v>4</v>
      </c>
      <c r="G43" s="38">
        <f t="shared" si="10"/>
        <v>36</v>
      </c>
      <c r="H43" s="38">
        <f t="shared" si="10"/>
        <v>1</v>
      </c>
      <c r="I43" s="70">
        <f t="shared" si="10"/>
        <v>0</v>
      </c>
      <c r="J43" s="70">
        <f t="shared" si="10"/>
        <v>0</v>
      </c>
      <c r="K43" s="71">
        <f t="shared" si="10"/>
        <v>0</v>
      </c>
      <c r="L43" s="71">
        <f t="shared" si="10"/>
        <v>0</v>
      </c>
      <c r="M43" s="72">
        <f t="shared" si="10"/>
        <v>0</v>
      </c>
      <c r="N43" s="72">
        <f t="shared" si="10"/>
        <v>0</v>
      </c>
      <c r="O43" s="71">
        <f t="shared" si="10"/>
        <v>0</v>
      </c>
      <c r="P43" s="71">
        <f t="shared" si="10"/>
        <v>0</v>
      </c>
      <c r="Q43" s="104">
        <f t="shared" si="10"/>
        <v>0</v>
      </c>
      <c r="R43" s="105">
        <f t="shared" si="10"/>
        <v>0</v>
      </c>
      <c r="S43" s="105">
        <f t="shared" si="10"/>
        <v>0</v>
      </c>
      <c r="T43" s="106">
        <f t="shared" si="10"/>
        <v>10</v>
      </c>
      <c r="U43" s="107">
        <f t="shared" si="10"/>
        <v>0</v>
      </c>
      <c r="V43" s="107">
        <f t="shared" si="10"/>
        <v>0</v>
      </c>
      <c r="W43" s="70">
        <f t="shared" si="10"/>
        <v>0</v>
      </c>
      <c r="X43" s="71">
        <f t="shared" si="10"/>
        <v>0</v>
      </c>
      <c r="Y43" s="124">
        <f t="shared" si="10"/>
        <v>0</v>
      </c>
      <c r="Z43" s="125">
        <f t="shared" si="10"/>
        <v>0</v>
      </c>
      <c r="AA43" s="125">
        <f t="shared" si="10"/>
        <v>0</v>
      </c>
      <c r="AB43" s="125">
        <f t="shared" si="10"/>
        <v>0</v>
      </c>
      <c r="AC43" s="125">
        <f t="shared" si="10"/>
        <v>95108</v>
      </c>
      <c r="AD43" s="125">
        <f t="shared" si="10"/>
        <v>9510.8</v>
      </c>
      <c r="AE43" s="125">
        <f t="shared" si="10"/>
        <v>85597.2</v>
      </c>
      <c r="AF43" s="125"/>
      <c r="AG43" s="125">
        <f t="shared" si="10"/>
        <v>0</v>
      </c>
      <c r="AH43" s="125">
        <f t="shared" si="10"/>
        <v>0</v>
      </c>
      <c r="AI43" s="125">
        <f t="shared" si="10"/>
        <v>0</v>
      </c>
      <c r="AJ43" s="125">
        <f t="shared" si="10"/>
        <v>0</v>
      </c>
      <c r="AK43" s="125">
        <f t="shared" si="10"/>
        <v>0</v>
      </c>
      <c r="AL43" s="125">
        <f t="shared" si="10"/>
        <v>14505</v>
      </c>
      <c r="AM43" s="125">
        <f t="shared" si="10"/>
        <v>14505</v>
      </c>
      <c r="AN43" s="125">
        <f t="shared" si="10"/>
        <v>14505</v>
      </c>
      <c r="AO43" s="125">
        <f t="shared" si="10"/>
        <v>4835</v>
      </c>
      <c r="AP43" s="125">
        <f t="shared" si="10"/>
        <v>43515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204</v>
      </c>
      <c r="J46" s="40">
        <f>I46*12</f>
        <v>2448</v>
      </c>
      <c r="K46" s="40">
        <v>177</v>
      </c>
      <c r="L46" s="40">
        <f>K46*15</f>
        <v>2655</v>
      </c>
      <c r="M46" s="40">
        <v>34</v>
      </c>
      <c r="N46" s="40">
        <f>M46*6</f>
        <v>204</v>
      </c>
      <c r="O46" s="40">
        <v>272</v>
      </c>
      <c r="P46" s="40">
        <f>O46*4</f>
        <v>1088</v>
      </c>
      <c r="Q46" s="40">
        <v>1496</v>
      </c>
      <c r="R46" s="40">
        <v>204</v>
      </c>
      <c r="S46" s="40">
        <f>R46*4</f>
        <v>816</v>
      </c>
      <c r="T46" s="40">
        <v>6800</v>
      </c>
      <c r="U46" s="40">
        <v>75</v>
      </c>
      <c r="V46" s="40">
        <f>U46*12</f>
        <v>900</v>
      </c>
      <c r="W46" s="40">
        <v>13.6</v>
      </c>
      <c r="X46" s="40">
        <v>68</v>
      </c>
      <c r="Y46" s="40">
        <f>X46*12</f>
        <v>816</v>
      </c>
      <c r="Z46" s="40">
        <v>1904</v>
      </c>
      <c r="AA46" s="40">
        <v>122</v>
      </c>
      <c r="AB46" s="40">
        <v>340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45066682943"/>
  </sheetPr>
  <dimension ref="B2:AO46"/>
  <sheetViews>
    <sheetView showGridLines="0" workbookViewId="0">
      <pane xSplit="3" ySplit="7" topLeftCell="U8" activePane="bottomRight" state="frozen"/>
      <selection/>
      <selection pane="topRight"/>
      <selection pane="bottomLeft"/>
      <selection pane="bottomRight" activeCell="Y31" sqref="Y31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31.8571428571429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/>
      <c r="L5" s="133"/>
      <c r="M5" s="133"/>
      <c r="N5" s="133"/>
    </row>
    <row r="6" ht="18.95" customHeight="1" spans="3:7">
      <c r="C6" s="4" t="s">
        <v>17</v>
      </c>
      <c r="D6" s="2" t="s">
        <v>63</v>
      </c>
      <c r="E6" s="2"/>
      <c r="F6" s="6"/>
      <c r="G6" s="6"/>
    </row>
    <row r="7" ht="18.95" customHeight="1" spans="3:7">
      <c r="C7" s="7" t="s">
        <v>18</v>
      </c>
      <c r="D7" s="2" t="s">
        <v>198</v>
      </c>
      <c r="E7" s="2"/>
      <c r="F7" s="6"/>
      <c r="G7" s="6"/>
    </row>
    <row r="8" ht="18.95" customHeight="1" spans="3:31">
      <c r="C8" s="7" t="s">
        <v>19</v>
      </c>
      <c r="D8" s="2"/>
      <c r="E8" s="2"/>
      <c r="F8" s="6"/>
      <c r="G8" s="6"/>
      <c r="AE8" s="1" t="s">
        <v>199</v>
      </c>
    </row>
    <row r="9" ht="6.95" customHeight="1"/>
    <row r="10" ht="46.5" customHeight="1" spans="2:41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2"/>
    </row>
    <row r="11" ht="32.45" customHeight="1" spans="2:41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56</v>
      </c>
      <c r="AG11" s="114" t="s">
        <v>57</v>
      </c>
      <c r="AH11" s="114"/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3" t="s">
        <v>58</v>
      </c>
    </row>
    <row r="12" spans="2:41">
      <c r="B12" s="18">
        <f>B11+1</f>
        <v>1</v>
      </c>
      <c r="C12" s="184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/>
      <c r="AG12" s="121"/>
      <c r="AH12" s="121"/>
      <c r="AI12" s="121"/>
      <c r="AJ12" s="121"/>
      <c r="AK12" s="121"/>
      <c r="AL12" s="121">
        <f t="shared" ref="AL12:AL42" si="0">AE12/3</f>
        <v>0</v>
      </c>
      <c r="AM12" s="120">
        <f>AL12</f>
        <v>0</v>
      </c>
      <c r="AN12" s="121">
        <f>AM12</f>
        <v>0</v>
      </c>
      <c r="AO12" s="145">
        <f t="shared" ref="AO12:AO20" si="1">AD12+AF12+AG12+AH12+AI12+AJ12+AK12</f>
        <v>0</v>
      </c>
    </row>
    <row r="13" spans="2:41">
      <c r="B13" s="25">
        <f t="shared" ref="B13:B42" si="2">B12+1</f>
        <v>2</v>
      </c>
      <c r="C13" s="184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3">10%*AC13</f>
        <v>0</v>
      </c>
      <c r="AE13" s="121">
        <f t="shared" ref="AE13:AE42" si="4">AC13-AD13</f>
        <v>0</v>
      </c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 t="shared" ref="AM13:AN28" si="5">AL13</f>
        <v>0</v>
      </c>
      <c r="AN13" s="121">
        <f t="shared" si="5"/>
        <v>0</v>
      </c>
      <c r="AO13" s="145">
        <f t="shared" si="1"/>
        <v>0</v>
      </c>
    </row>
    <row r="14" spans="2:41">
      <c r="B14" s="25">
        <f t="shared" si="2"/>
        <v>3</v>
      </c>
      <c r="C14" s="184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/>
      <c r="AE14" s="121">
        <f t="shared" si="4"/>
        <v>0</v>
      </c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5"/>
        <v>0</v>
      </c>
      <c r="AN14" s="121">
        <f t="shared" si="5"/>
        <v>0</v>
      </c>
      <c r="AO14" s="145">
        <f t="shared" si="1"/>
        <v>0</v>
      </c>
    </row>
    <row r="15" spans="2:41">
      <c r="B15" s="25">
        <f t="shared" si="2"/>
        <v>4</v>
      </c>
      <c r="C15" s="184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3"/>
        <v>0</v>
      </c>
      <c r="AE15" s="121">
        <f t="shared" si="4"/>
        <v>0</v>
      </c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5"/>
        <v>0</v>
      </c>
      <c r="AN15" s="121">
        <f t="shared" si="5"/>
        <v>0</v>
      </c>
      <c r="AO15" s="145">
        <f t="shared" si="1"/>
        <v>0</v>
      </c>
    </row>
    <row r="16" spans="2:41">
      <c r="B16" s="25">
        <f t="shared" si="2"/>
        <v>5</v>
      </c>
      <c r="C16" s="184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3"/>
        <v>0</v>
      </c>
      <c r="AE16" s="121">
        <f t="shared" si="4"/>
        <v>0</v>
      </c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5"/>
        <v>0</v>
      </c>
      <c r="AN16" s="121">
        <f t="shared" si="5"/>
        <v>0</v>
      </c>
      <c r="AO16" s="145">
        <f t="shared" si="1"/>
        <v>0</v>
      </c>
    </row>
    <row r="17" spans="2:41">
      <c r="B17" s="25">
        <f t="shared" si="2"/>
        <v>6</v>
      </c>
      <c r="C17" s="184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3"/>
        <v>0</v>
      </c>
      <c r="AE17" s="121">
        <f t="shared" si="4"/>
        <v>0</v>
      </c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 t="shared" si="5"/>
        <v>0</v>
      </c>
      <c r="AN17" s="121">
        <f t="shared" si="5"/>
        <v>0</v>
      </c>
      <c r="AO17" s="145">
        <f t="shared" si="1"/>
        <v>0</v>
      </c>
    </row>
    <row r="18" spans="2:41">
      <c r="B18" s="25">
        <f t="shared" si="2"/>
        <v>7</v>
      </c>
      <c r="C18" s="184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3"/>
        <v>0</v>
      </c>
      <c r="AE18" s="121">
        <f>AC18-AO18</f>
        <v>0</v>
      </c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>AL18</f>
        <v>0</v>
      </c>
      <c r="AN18" s="121">
        <f t="shared" si="5"/>
        <v>0</v>
      </c>
      <c r="AO18" s="145">
        <f t="shared" si="1"/>
        <v>0</v>
      </c>
    </row>
    <row r="19" spans="2:41">
      <c r="B19" s="25">
        <f t="shared" si="2"/>
        <v>8</v>
      </c>
      <c r="C19" s="184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3"/>
        <v>0</v>
      </c>
      <c r="AE19" s="121">
        <f t="shared" si="4"/>
        <v>0</v>
      </c>
      <c r="AF19" s="121"/>
      <c r="AG19" s="121"/>
      <c r="AH19" s="121"/>
      <c r="AI19" s="121"/>
      <c r="AJ19" s="121"/>
      <c r="AK19" s="121"/>
      <c r="AL19" s="121">
        <f t="shared" si="0"/>
        <v>0</v>
      </c>
      <c r="AM19" s="120">
        <f t="shared" si="5"/>
        <v>0</v>
      </c>
      <c r="AN19" s="121">
        <f t="shared" si="5"/>
        <v>0</v>
      </c>
      <c r="AO19" s="145">
        <f t="shared" si="1"/>
        <v>0</v>
      </c>
    </row>
    <row r="20" spans="2:41">
      <c r="B20" s="25">
        <f t="shared" si="2"/>
        <v>9</v>
      </c>
      <c r="C20" s="184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3"/>
        <v>0</v>
      </c>
      <c r="AE20" s="121">
        <f t="shared" si="4"/>
        <v>0</v>
      </c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5"/>
        <v>0</v>
      </c>
      <c r="AN20" s="121">
        <f t="shared" si="5"/>
        <v>0</v>
      </c>
      <c r="AO20" s="145">
        <f t="shared" si="1"/>
        <v>0</v>
      </c>
    </row>
    <row r="21" spans="2:41">
      <c r="B21" s="25">
        <f t="shared" si="2"/>
        <v>10</v>
      </c>
      <c r="C21" s="184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3"/>
        <v>0</v>
      </c>
      <c r="AE21" s="121">
        <f t="shared" si="4"/>
        <v>0</v>
      </c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5"/>
        <v>0</v>
      </c>
      <c r="AN21" s="121">
        <f t="shared" si="5"/>
        <v>0</v>
      </c>
      <c r="AO21" s="145"/>
    </row>
    <row r="22" spans="2:41">
      <c r="B22" s="25">
        <f t="shared" si="2"/>
        <v>11</v>
      </c>
      <c r="C22" s="184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3"/>
        <v>0</v>
      </c>
      <c r="AE22" s="121">
        <f t="shared" si="4"/>
        <v>0</v>
      </c>
      <c r="AF22" s="121"/>
      <c r="AG22" s="121"/>
      <c r="AH22" s="121"/>
      <c r="AI22" s="121"/>
      <c r="AJ22" s="121"/>
      <c r="AK22" s="121"/>
      <c r="AL22" s="121">
        <f t="shared" si="0"/>
        <v>0</v>
      </c>
      <c r="AM22" s="120">
        <f t="shared" si="5"/>
        <v>0</v>
      </c>
      <c r="AN22" s="121">
        <f t="shared" si="5"/>
        <v>0</v>
      </c>
      <c r="AO22" s="145"/>
    </row>
    <row r="23" spans="2:41">
      <c r="B23" s="25">
        <f t="shared" si="2"/>
        <v>12</v>
      </c>
      <c r="C23" s="184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3"/>
        <v>0</v>
      </c>
      <c r="AE23" s="121">
        <f t="shared" si="4"/>
        <v>0</v>
      </c>
      <c r="AF23" s="121"/>
      <c r="AG23" s="121"/>
      <c r="AH23" s="121"/>
      <c r="AI23" s="121"/>
      <c r="AJ23" s="121"/>
      <c r="AK23" s="121"/>
      <c r="AL23" s="121">
        <f t="shared" si="0"/>
        <v>0</v>
      </c>
      <c r="AM23" s="120">
        <f t="shared" si="5"/>
        <v>0</v>
      </c>
      <c r="AN23" s="121">
        <f t="shared" si="5"/>
        <v>0</v>
      </c>
      <c r="AO23" s="145"/>
    </row>
    <row r="24" spans="2:41">
      <c r="B24" s="25">
        <f t="shared" si="2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3"/>
        <v>0</v>
      </c>
      <c r="AE24" s="121">
        <f t="shared" si="4"/>
        <v>0</v>
      </c>
      <c r="AF24" s="121"/>
      <c r="AG24" s="121"/>
      <c r="AH24" s="121"/>
      <c r="AI24" s="121"/>
      <c r="AJ24" s="121"/>
      <c r="AK24" s="121"/>
      <c r="AL24" s="121">
        <f t="shared" si="0"/>
        <v>0</v>
      </c>
      <c r="AM24" s="120">
        <f t="shared" si="5"/>
        <v>0</v>
      </c>
      <c r="AN24" s="121">
        <f t="shared" si="5"/>
        <v>0</v>
      </c>
      <c r="AO24" s="145"/>
    </row>
    <row r="25" spans="2:41">
      <c r="B25" s="25">
        <f t="shared" si="2"/>
        <v>14</v>
      </c>
      <c r="C25" s="225"/>
      <c r="D25" s="233"/>
      <c r="E25" s="234"/>
      <c r="F25" s="235"/>
      <c r="G25" s="236"/>
      <c r="H25" s="237"/>
      <c r="I25" s="238"/>
      <c r="J25" s="239"/>
      <c r="K25" s="240"/>
      <c r="L25" s="241"/>
      <c r="M25" s="242"/>
      <c r="N25" s="243"/>
      <c r="O25" s="241"/>
      <c r="P25" s="244"/>
      <c r="Q25" s="245"/>
      <c r="R25" s="246"/>
      <c r="S25" s="247"/>
      <c r="T25" s="248"/>
      <c r="U25" s="249"/>
      <c r="V25" s="249"/>
      <c r="W25" s="250"/>
      <c r="X25" s="251"/>
      <c r="Y25" s="251"/>
      <c r="Z25" s="252"/>
      <c r="AA25" s="252"/>
      <c r="AB25" s="252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3"/>
        <v>0</v>
      </c>
      <c r="AE25" s="121">
        <f t="shared" si="4"/>
        <v>0</v>
      </c>
      <c r="AF25" s="121"/>
      <c r="AG25" s="121"/>
      <c r="AH25" s="121"/>
      <c r="AI25" s="121"/>
      <c r="AJ25" s="121"/>
      <c r="AK25" s="121"/>
      <c r="AL25" s="121">
        <f t="shared" si="0"/>
        <v>0</v>
      </c>
      <c r="AM25" s="120">
        <f t="shared" si="5"/>
        <v>0</v>
      </c>
      <c r="AN25" s="121">
        <f t="shared" si="5"/>
        <v>0</v>
      </c>
      <c r="AO25" s="145"/>
    </row>
    <row r="26" spans="2:41">
      <c r="B26" s="25">
        <f t="shared" si="2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3"/>
        <v>0</v>
      </c>
      <c r="AE26" s="121">
        <f t="shared" si="4"/>
        <v>0</v>
      </c>
      <c r="AF26" s="121"/>
      <c r="AG26" s="121"/>
      <c r="AH26" s="121"/>
      <c r="AI26" s="121"/>
      <c r="AJ26" s="121"/>
      <c r="AK26" s="121"/>
      <c r="AL26" s="121">
        <f t="shared" si="0"/>
        <v>0</v>
      </c>
      <c r="AM26" s="120">
        <f t="shared" si="5"/>
        <v>0</v>
      </c>
      <c r="AN26" s="121">
        <f t="shared" si="5"/>
        <v>0</v>
      </c>
      <c r="AO26" s="145"/>
    </row>
    <row r="27" spans="2:41">
      <c r="B27" s="25">
        <f t="shared" si="2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3"/>
        <v>0</v>
      </c>
      <c r="AE27" s="121">
        <f t="shared" si="4"/>
        <v>0</v>
      </c>
      <c r="AF27" s="121"/>
      <c r="AG27" s="121"/>
      <c r="AH27" s="121"/>
      <c r="AI27" s="121"/>
      <c r="AJ27" s="121"/>
      <c r="AK27" s="121"/>
      <c r="AL27" s="121">
        <f t="shared" si="0"/>
        <v>0</v>
      </c>
      <c r="AM27" s="120">
        <f t="shared" si="5"/>
        <v>0</v>
      </c>
      <c r="AN27" s="121">
        <f t="shared" si="5"/>
        <v>0</v>
      </c>
      <c r="AO27" s="145"/>
    </row>
    <row r="28" spans="2:41">
      <c r="B28" s="25">
        <f t="shared" si="2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3"/>
        <v>0</v>
      </c>
      <c r="AE28" s="121">
        <f t="shared" si="4"/>
        <v>0</v>
      </c>
      <c r="AF28" s="121"/>
      <c r="AG28" s="121"/>
      <c r="AH28" s="121"/>
      <c r="AI28" s="121"/>
      <c r="AJ28" s="121"/>
      <c r="AK28" s="121"/>
      <c r="AL28" s="121">
        <f t="shared" si="0"/>
        <v>0</v>
      </c>
      <c r="AM28" s="120">
        <f t="shared" si="5"/>
        <v>0</v>
      </c>
      <c r="AN28" s="121">
        <f t="shared" si="5"/>
        <v>0</v>
      </c>
      <c r="AO28" s="145"/>
    </row>
    <row r="29" spans="2:41">
      <c r="B29" s="25">
        <f t="shared" si="2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3"/>
        <v>0</v>
      </c>
      <c r="AE29" s="121">
        <f t="shared" si="4"/>
        <v>0</v>
      </c>
      <c r="AF29" s="121"/>
      <c r="AG29" s="121"/>
      <c r="AH29" s="121"/>
      <c r="AI29" s="121"/>
      <c r="AJ29" s="121"/>
      <c r="AK29" s="121"/>
      <c r="AL29" s="121">
        <f t="shared" si="0"/>
        <v>0</v>
      </c>
      <c r="AM29" s="120">
        <f t="shared" ref="AM29:AN42" si="6">AL29</f>
        <v>0</v>
      </c>
      <c r="AN29" s="121">
        <f t="shared" si="6"/>
        <v>0</v>
      </c>
      <c r="AO29" s="145"/>
    </row>
    <row r="30" spans="2:41">
      <c r="B30" s="25">
        <f t="shared" si="2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3"/>
        <v>0</v>
      </c>
      <c r="AE30" s="121">
        <f t="shared" si="4"/>
        <v>0</v>
      </c>
      <c r="AF30" s="121"/>
      <c r="AG30" s="121"/>
      <c r="AH30" s="121"/>
      <c r="AI30" s="121"/>
      <c r="AJ30" s="121"/>
      <c r="AK30" s="121"/>
      <c r="AL30" s="121">
        <f t="shared" si="0"/>
        <v>0</v>
      </c>
      <c r="AM30" s="120">
        <f t="shared" si="6"/>
        <v>0</v>
      </c>
      <c r="AN30" s="121">
        <f t="shared" si="6"/>
        <v>0</v>
      </c>
      <c r="AO30" s="145"/>
    </row>
    <row r="31" spans="2:41">
      <c r="B31" s="25">
        <f t="shared" si="2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3"/>
        <v>0</v>
      </c>
      <c r="AE31" s="121">
        <f t="shared" si="4"/>
        <v>0</v>
      </c>
      <c r="AF31" s="121"/>
      <c r="AG31" s="121"/>
      <c r="AH31" s="121"/>
      <c r="AI31" s="121"/>
      <c r="AJ31" s="121"/>
      <c r="AK31" s="121"/>
      <c r="AL31" s="121">
        <f t="shared" si="0"/>
        <v>0</v>
      </c>
      <c r="AM31" s="120">
        <f t="shared" si="6"/>
        <v>0</v>
      </c>
      <c r="AN31" s="121">
        <f t="shared" si="6"/>
        <v>0</v>
      </c>
      <c r="AO31" s="145"/>
    </row>
    <row r="32" spans="2:41">
      <c r="B32" s="25">
        <f t="shared" si="2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3"/>
        <v>0</v>
      </c>
      <c r="AE32" s="121">
        <f t="shared" si="4"/>
        <v>0</v>
      </c>
      <c r="AF32" s="121"/>
      <c r="AG32" s="121"/>
      <c r="AH32" s="121"/>
      <c r="AI32" s="121"/>
      <c r="AJ32" s="121"/>
      <c r="AK32" s="121"/>
      <c r="AL32" s="121">
        <f t="shared" si="0"/>
        <v>0</v>
      </c>
      <c r="AM32" s="120">
        <f t="shared" si="6"/>
        <v>0</v>
      </c>
      <c r="AN32" s="121">
        <f t="shared" si="6"/>
        <v>0</v>
      </c>
      <c r="AO32" s="145"/>
    </row>
    <row r="33" spans="2:41">
      <c r="B33" s="25">
        <f t="shared" si="2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3"/>
        <v>0</v>
      </c>
      <c r="AE33" s="121">
        <f t="shared" si="4"/>
        <v>0</v>
      </c>
      <c r="AF33" s="121"/>
      <c r="AG33" s="121"/>
      <c r="AH33" s="121"/>
      <c r="AI33" s="121"/>
      <c r="AJ33" s="121"/>
      <c r="AK33" s="121"/>
      <c r="AL33" s="121">
        <f t="shared" si="0"/>
        <v>0</v>
      </c>
      <c r="AM33" s="120">
        <f t="shared" si="6"/>
        <v>0</v>
      </c>
      <c r="AN33" s="121">
        <f t="shared" si="6"/>
        <v>0</v>
      </c>
      <c r="AO33" s="145"/>
    </row>
    <row r="34" spans="2:41">
      <c r="B34" s="25">
        <f t="shared" si="2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3"/>
        <v>0</v>
      </c>
      <c r="AE34" s="121">
        <f t="shared" si="4"/>
        <v>0</v>
      </c>
      <c r="AF34" s="121"/>
      <c r="AG34" s="121"/>
      <c r="AH34" s="121"/>
      <c r="AI34" s="121"/>
      <c r="AJ34" s="121"/>
      <c r="AK34" s="121"/>
      <c r="AL34" s="121">
        <f t="shared" si="0"/>
        <v>0</v>
      </c>
      <c r="AM34" s="120">
        <f t="shared" si="6"/>
        <v>0</v>
      </c>
      <c r="AN34" s="121">
        <f t="shared" si="6"/>
        <v>0</v>
      </c>
      <c r="AO34" s="145"/>
    </row>
    <row r="35" spans="2:41">
      <c r="B35" s="25">
        <f t="shared" si="2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3"/>
        <v>0</v>
      </c>
      <c r="AE35" s="121">
        <f t="shared" si="4"/>
        <v>0</v>
      </c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6"/>
        <v>0</v>
      </c>
      <c r="AN35" s="121">
        <f t="shared" si="6"/>
        <v>0</v>
      </c>
      <c r="AO35" s="145"/>
    </row>
    <row r="36" spans="2:41">
      <c r="B36" s="25">
        <f t="shared" si="2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3"/>
        <v>0</v>
      </c>
      <c r="AE36" s="121">
        <f t="shared" si="4"/>
        <v>0</v>
      </c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6"/>
        <v>0</v>
      </c>
      <c r="AN36" s="121">
        <f t="shared" si="6"/>
        <v>0</v>
      </c>
      <c r="AO36" s="145"/>
    </row>
    <row r="37" spans="2:41">
      <c r="B37" s="25">
        <f t="shared" si="2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3"/>
        <v>0</v>
      </c>
      <c r="AE37" s="121">
        <f t="shared" si="4"/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6"/>
        <v>0</v>
      </c>
      <c r="AN37" s="121">
        <f t="shared" si="6"/>
        <v>0</v>
      </c>
      <c r="AO37" s="145"/>
    </row>
    <row r="38" spans="2:41">
      <c r="B38" s="25">
        <f t="shared" si="2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3"/>
        <v>0</v>
      </c>
      <c r="AE38" s="121">
        <f t="shared" si="4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6"/>
        <v>0</v>
      </c>
      <c r="AN38" s="121">
        <f t="shared" si="6"/>
        <v>0</v>
      </c>
      <c r="AO38" s="145"/>
    </row>
    <row r="39" spans="2:41">
      <c r="B39" s="25">
        <f t="shared" si="2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3"/>
        <v>0</v>
      </c>
      <c r="AE39" s="121">
        <f t="shared" si="4"/>
        <v>0</v>
      </c>
      <c r="AF39" s="121"/>
      <c r="AG39" s="121"/>
      <c r="AH39" s="121"/>
      <c r="AI39" s="121"/>
      <c r="AJ39" s="121"/>
      <c r="AK39" s="121"/>
      <c r="AL39" s="121">
        <f t="shared" si="0"/>
        <v>0</v>
      </c>
      <c r="AM39" s="120">
        <f t="shared" si="6"/>
        <v>0</v>
      </c>
      <c r="AN39" s="121">
        <f t="shared" si="6"/>
        <v>0</v>
      </c>
      <c r="AO39" s="145"/>
    </row>
    <row r="40" spans="2:41">
      <c r="B40" s="25">
        <f t="shared" si="2"/>
        <v>29</v>
      </c>
      <c r="C40" s="32"/>
      <c r="D40" s="33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3"/>
        <v>0</v>
      </c>
      <c r="AE40" s="121">
        <f t="shared" si="4"/>
        <v>0</v>
      </c>
      <c r="AF40" s="121"/>
      <c r="AG40" s="121"/>
      <c r="AH40" s="121"/>
      <c r="AI40" s="121"/>
      <c r="AJ40" s="121"/>
      <c r="AK40" s="121"/>
      <c r="AL40" s="121">
        <f t="shared" si="0"/>
        <v>0</v>
      </c>
      <c r="AM40" s="120">
        <f t="shared" si="6"/>
        <v>0</v>
      </c>
      <c r="AN40" s="121">
        <f t="shared" si="6"/>
        <v>0</v>
      </c>
      <c r="AO40" s="145"/>
    </row>
    <row r="41" spans="2:41">
      <c r="B41" s="25">
        <f t="shared" si="2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3"/>
        <v>0</v>
      </c>
      <c r="AE41" s="121">
        <f t="shared" si="4"/>
        <v>0</v>
      </c>
      <c r="AF41" s="121"/>
      <c r="AG41" s="121"/>
      <c r="AH41" s="121"/>
      <c r="AI41" s="121"/>
      <c r="AJ41" s="121"/>
      <c r="AK41" s="121"/>
      <c r="AL41" s="121">
        <f t="shared" si="0"/>
        <v>0</v>
      </c>
      <c r="AM41" s="120">
        <f t="shared" si="6"/>
        <v>0</v>
      </c>
      <c r="AN41" s="121">
        <f t="shared" si="6"/>
        <v>0</v>
      </c>
      <c r="AO41" s="145"/>
    </row>
    <row r="42" spans="2:41">
      <c r="B42" s="25">
        <f t="shared" si="2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3"/>
        <v>0</v>
      </c>
      <c r="AE42" s="121">
        <f t="shared" si="4"/>
        <v>0</v>
      </c>
      <c r="AF42" s="135"/>
      <c r="AG42" s="135"/>
      <c r="AH42" s="135"/>
      <c r="AI42" s="135"/>
      <c r="AJ42" s="135"/>
      <c r="AK42" s="135"/>
      <c r="AL42" s="123">
        <f t="shared" si="0"/>
        <v>0</v>
      </c>
      <c r="AM42" s="130">
        <f t="shared" si="6"/>
        <v>0</v>
      </c>
      <c r="AN42" s="123">
        <f t="shared" si="6"/>
        <v>0</v>
      </c>
      <c r="AO42" s="145"/>
    </row>
    <row r="43" ht="18.95" customHeight="1" spans="2:41">
      <c r="B43" s="34" t="s">
        <v>61</v>
      </c>
      <c r="C43" s="35">
        <f>COUNTA(C12:C42)</f>
        <v>0</v>
      </c>
      <c r="D43" s="36"/>
      <c r="E43" s="37">
        <f t="shared" ref="E43:AO43" si="7">SUM(E12:E42)</f>
        <v>0</v>
      </c>
      <c r="F43" s="37">
        <f t="shared" si="7"/>
        <v>0</v>
      </c>
      <c r="G43" s="38">
        <f t="shared" si="7"/>
        <v>0</v>
      </c>
      <c r="H43" s="38">
        <f t="shared" si="7"/>
        <v>0</v>
      </c>
      <c r="I43" s="70">
        <f t="shared" si="7"/>
        <v>0</v>
      </c>
      <c r="J43" s="70">
        <f t="shared" si="7"/>
        <v>0</v>
      </c>
      <c r="K43" s="71">
        <f t="shared" si="7"/>
        <v>0</v>
      </c>
      <c r="L43" s="71">
        <f t="shared" si="7"/>
        <v>0</v>
      </c>
      <c r="M43" s="72">
        <f t="shared" si="7"/>
        <v>0</v>
      </c>
      <c r="N43" s="72">
        <f t="shared" si="7"/>
        <v>0</v>
      </c>
      <c r="O43" s="71">
        <f t="shared" si="7"/>
        <v>0</v>
      </c>
      <c r="P43" s="71">
        <f t="shared" si="7"/>
        <v>0</v>
      </c>
      <c r="Q43" s="104">
        <f t="shared" si="7"/>
        <v>0</v>
      </c>
      <c r="R43" s="105">
        <f t="shared" si="7"/>
        <v>0</v>
      </c>
      <c r="S43" s="105">
        <f t="shared" si="7"/>
        <v>0</v>
      </c>
      <c r="T43" s="106">
        <f t="shared" si="7"/>
        <v>0</v>
      </c>
      <c r="U43" s="107">
        <f t="shared" si="7"/>
        <v>0</v>
      </c>
      <c r="V43" s="107">
        <f t="shared" si="7"/>
        <v>0</v>
      </c>
      <c r="W43" s="70">
        <f t="shared" si="7"/>
        <v>0</v>
      </c>
      <c r="X43" s="71">
        <f t="shared" si="7"/>
        <v>0</v>
      </c>
      <c r="Y43" s="124">
        <f t="shared" si="7"/>
        <v>0</v>
      </c>
      <c r="Z43" s="125">
        <f t="shared" si="7"/>
        <v>0</v>
      </c>
      <c r="AA43" s="125">
        <f t="shared" si="7"/>
        <v>0</v>
      </c>
      <c r="AB43" s="125">
        <f t="shared" si="7"/>
        <v>0</v>
      </c>
      <c r="AC43" s="125">
        <f t="shared" si="7"/>
        <v>0</v>
      </c>
      <c r="AD43" s="125">
        <f t="shared" si="7"/>
        <v>0</v>
      </c>
      <c r="AE43" s="125">
        <f t="shared" si="7"/>
        <v>0</v>
      </c>
      <c r="AF43" s="125"/>
      <c r="AG43" s="125"/>
      <c r="AH43" s="125"/>
      <c r="AI43" s="125"/>
      <c r="AJ43" s="125"/>
      <c r="AK43" s="125"/>
      <c r="AL43" s="125">
        <f t="shared" si="7"/>
        <v>0</v>
      </c>
      <c r="AM43" s="125">
        <f t="shared" si="7"/>
        <v>0</v>
      </c>
      <c r="AN43" s="125">
        <f t="shared" si="7"/>
        <v>0</v>
      </c>
      <c r="AO43" s="125">
        <f t="shared" si="7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204</v>
      </c>
      <c r="J46" s="40">
        <f>I46*12</f>
        <v>2448</v>
      </c>
      <c r="K46" s="40">
        <v>177</v>
      </c>
      <c r="L46" s="40">
        <f>K46*15</f>
        <v>2655</v>
      </c>
      <c r="M46" s="40">
        <v>116</v>
      </c>
      <c r="N46" s="40">
        <f>M46*6</f>
        <v>696</v>
      </c>
      <c r="O46" s="40">
        <v>272</v>
      </c>
      <c r="P46" s="40">
        <f>O46*4</f>
        <v>1088</v>
      </c>
      <c r="Q46" s="40">
        <v>1496</v>
      </c>
      <c r="R46" s="40">
        <v>272</v>
      </c>
      <c r="S46" s="40">
        <f>R46*4</f>
        <v>1088</v>
      </c>
      <c r="T46" s="40">
        <v>6800</v>
      </c>
      <c r="U46" s="40">
        <v>75</v>
      </c>
      <c r="V46" s="40">
        <f>U46*12</f>
        <v>900</v>
      </c>
      <c r="W46" s="40">
        <v>20</v>
      </c>
      <c r="X46" s="40">
        <v>68</v>
      </c>
      <c r="Y46" s="40">
        <f>X46*12</f>
        <v>816</v>
      </c>
      <c r="Z46" s="40">
        <v>1904</v>
      </c>
      <c r="AA46" s="40">
        <v>122</v>
      </c>
      <c r="AB46" s="40">
        <v>340</v>
      </c>
      <c r="AC46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499984740745262"/>
  </sheetPr>
  <dimension ref="B2:AP42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D12" sqref="D12:D2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42" width="10.7142857142857" style="1" customWidth="1"/>
    <col min="43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 t="s">
        <v>200</v>
      </c>
      <c r="L5" s="133"/>
      <c r="M5" s="133"/>
      <c r="N5" s="133"/>
    </row>
    <row r="6" ht="18.95" customHeight="1" spans="3:7">
      <c r="C6" s="4" t="s">
        <v>17</v>
      </c>
      <c r="D6" s="5" t="s">
        <v>63</v>
      </c>
      <c r="E6" s="6"/>
      <c r="F6" s="6"/>
      <c r="G6" s="6"/>
    </row>
    <row r="7" ht="18.95" customHeight="1" spans="3:7">
      <c r="C7" s="7" t="s">
        <v>18</v>
      </c>
      <c r="D7" s="5" t="s">
        <v>201</v>
      </c>
      <c r="E7" s="6"/>
      <c r="F7" s="6"/>
      <c r="G7" s="6"/>
    </row>
    <row r="8" ht="18.95" customHeight="1" spans="3:7">
      <c r="C8" s="7" t="s">
        <v>19</v>
      </c>
      <c r="D8" s="5" t="s">
        <v>202</v>
      </c>
      <c r="E8" s="6"/>
      <c r="F8" s="6"/>
      <c r="G8" s="6"/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221" t="s">
        <v>24</v>
      </c>
      <c r="H10" s="222"/>
      <c r="I10" s="226" t="s">
        <v>25</v>
      </c>
      <c r="J10" s="227"/>
      <c r="K10" s="43" t="s">
        <v>26</v>
      </c>
      <c r="L10" s="44"/>
      <c r="M10" s="45" t="s">
        <v>27</v>
      </c>
      <c r="N10" s="46"/>
      <c r="O10" s="228" t="s">
        <v>28</v>
      </c>
      <c r="P10" s="229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230" t="s">
        <v>38</v>
      </c>
      <c r="AD10" s="230" t="s">
        <v>66</v>
      </c>
      <c r="AE10" s="110" t="s">
        <v>40</v>
      </c>
      <c r="AF10" s="156" t="s">
        <v>41</v>
      </c>
      <c r="AG10" s="156"/>
      <c r="AH10" s="156"/>
      <c r="AI10" s="156"/>
      <c r="AJ10" s="156"/>
      <c r="AK10" s="156"/>
      <c r="AL10" s="156"/>
      <c r="AM10" s="156"/>
      <c r="AN10" s="156"/>
      <c r="AO10" s="157"/>
      <c r="AP10" s="145"/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231"/>
      <c r="AD11" s="231"/>
      <c r="AE11" s="231"/>
      <c r="AF11" s="114" t="s">
        <v>55</v>
      </c>
      <c r="AG11" s="114" t="s">
        <v>56</v>
      </c>
      <c r="AH11" s="114" t="s">
        <v>56</v>
      </c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232" t="s">
        <v>58</v>
      </c>
      <c r="AP11" s="147" t="s">
        <v>59</v>
      </c>
    </row>
    <row r="12" spans="2:42">
      <c r="B12" s="25">
        <v>1</v>
      </c>
      <c r="C12" s="223" t="s">
        <v>203</v>
      </c>
      <c r="D12" s="302" t="s">
        <v>204</v>
      </c>
      <c r="E12" s="28"/>
      <c r="F12" s="29">
        <v>1</v>
      </c>
      <c r="G12" s="30"/>
      <c r="H12" s="31"/>
      <c r="I12" s="63"/>
      <c r="J12" s="64"/>
      <c r="K12" s="65"/>
      <c r="L12" s="66"/>
      <c r="M12" s="67"/>
      <c r="N12" s="68"/>
      <c r="O12" s="66"/>
      <c r="P12" s="69"/>
      <c r="Q12" s="95"/>
      <c r="R12" s="96"/>
      <c r="S12" s="97"/>
      <c r="T12" s="98"/>
      <c r="U12" s="99"/>
      <c r="V12" s="99"/>
      <c r="W12" s="100"/>
      <c r="X12" s="101"/>
      <c r="Y12" s="101"/>
      <c r="Z12" s="118"/>
      <c r="AA12" s="118"/>
      <c r="AB12" s="118"/>
      <c r="AC12" s="119">
        <f>(E12*E42)+(F12*F42)+(G12*G42)+(H12*H42)+(I12*I42)+(J12*J42)+(K12*K42)+(L12*L42)+(M12*M42)+(N12*N42)+(O12*O42)+(P12*P42)+(Q12*Q42)+(R12*R42)+(S12*S42)+(T12*T42)+(U12*U42)+(V12*V42)+(W12*W42)+(X12*X42)+(Y12*Y42)+(Z12*Z42)+(AA12*AA42)+(AB12*AB42)</f>
        <v>2448</v>
      </c>
      <c r="AD12" s="120">
        <f t="shared" ref="AD12:AD38" si="0">10%*AC12</f>
        <v>244.8</v>
      </c>
      <c r="AE12" s="121">
        <f t="shared" ref="AE12:AE14" si="1">AC12-AD12</f>
        <v>2203.2</v>
      </c>
      <c r="AF12" s="121">
        <v>1000</v>
      </c>
      <c r="AG12" s="121"/>
      <c r="AH12" s="121"/>
      <c r="AI12" s="121"/>
      <c r="AJ12" s="121"/>
      <c r="AK12" s="121"/>
      <c r="AL12" s="121">
        <f t="shared" ref="AL12:AL38" si="2">AE12/3</f>
        <v>734.4</v>
      </c>
      <c r="AM12" s="120">
        <f t="shared" ref="AM12:AN24" si="3">AL12</f>
        <v>734.4</v>
      </c>
      <c r="AN12" s="121">
        <f t="shared" si="3"/>
        <v>734.4</v>
      </c>
      <c r="AO12" s="145">
        <f t="shared" ref="AO12:AO16" si="4">AD12+AF12+AG12+AH12+AI12+AJ12+AK12</f>
        <v>1244.8</v>
      </c>
      <c r="AP12" s="151">
        <f t="shared" ref="AP12:AP15" si="5">AC12-AO12</f>
        <v>1203.2</v>
      </c>
    </row>
    <row r="13" spans="2:42">
      <c r="B13" s="25">
        <f t="shared" ref="B13:B38" si="6">B12+1</f>
        <v>2</v>
      </c>
      <c r="C13" s="223" t="s">
        <v>205</v>
      </c>
      <c r="D13" s="302" t="s">
        <v>206</v>
      </c>
      <c r="E13" s="28">
        <v>2</v>
      </c>
      <c r="F13" s="29"/>
      <c r="G13" s="30">
        <v>3</v>
      </c>
      <c r="H13" s="31"/>
      <c r="I13" s="63"/>
      <c r="J13" s="64"/>
      <c r="K13" s="65"/>
      <c r="L13" s="66"/>
      <c r="M13" s="67"/>
      <c r="N13" s="68"/>
      <c r="O13" s="66"/>
      <c r="P13" s="69">
        <v>2</v>
      </c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(E13*E42)+(F13*F42)+(G13*G42)+(H13*H42)+(I13*I42)+(J13*J46)+(K13*K42)+(L13*L42)+(M13*M42)+(N13*N42)+(O13*O42)+(P13*P42)+(Q13*Q42)+(R13*R42)+(S13*S42)+(T13*T42)+(U13*U42)+(V13*V42)+(W13*W42)+(X13*X42)+(Y13*Y42)+(Z13*Z42)+(AA13*AA42)+(AB13*AB42)</f>
        <v>3115</v>
      </c>
      <c r="AD13" s="120">
        <f t="shared" si="0"/>
        <v>311.5</v>
      </c>
      <c r="AE13" s="121">
        <f t="shared" si="1"/>
        <v>2803.5</v>
      </c>
      <c r="AF13" s="121">
        <v>1000</v>
      </c>
      <c r="AG13" s="121"/>
      <c r="AH13" s="121"/>
      <c r="AI13" s="121"/>
      <c r="AJ13" s="121"/>
      <c r="AK13" s="121"/>
      <c r="AL13" s="121">
        <f t="shared" si="2"/>
        <v>934.5</v>
      </c>
      <c r="AM13" s="120">
        <f t="shared" si="3"/>
        <v>934.5</v>
      </c>
      <c r="AN13" s="121">
        <f t="shared" si="3"/>
        <v>934.5</v>
      </c>
      <c r="AO13" s="145">
        <f t="shared" si="4"/>
        <v>1311.5</v>
      </c>
      <c r="AP13" s="151">
        <f t="shared" si="5"/>
        <v>1803.5</v>
      </c>
    </row>
    <row r="14" spans="2:42">
      <c r="B14" s="25">
        <f t="shared" si="6"/>
        <v>3</v>
      </c>
      <c r="C14" s="223" t="s">
        <v>207</v>
      </c>
      <c r="D14" s="302" t="s">
        <v>208</v>
      </c>
      <c r="E14" s="28"/>
      <c r="F14" s="29">
        <v>1</v>
      </c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(E14*E42)+(F14*F42)+(G14*G42)+(H14*H42)+(I14*I42)+(J14*J42)+(K14*K42)+(L14*L42)+(M14*M42)+(N14*N42)+(O14*O42)+(P14*P42)+(Q14*Q42)+(R14*R42)+(S14*S42)+(T14*T42)+(U14*U42)+(V14*V42)+(W14*W42)+(X14*X42)+(Y14*Y42)+(Z14*Z42)+(AA14*AA42)+(AB14*AB42)</f>
        <v>2448</v>
      </c>
      <c r="AD14" s="120">
        <f t="shared" si="0"/>
        <v>244.8</v>
      </c>
      <c r="AE14" s="121">
        <f t="shared" si="1"/>
        <v>2203.2</v>
      </c>
      <c r="AF14" s="121">
        <v>1000</v>
      </c>
      <c r="AG14" s="121"/>
      <c r="AH14" s="121"/>
      <c r="AI14" s="121"/>
      <c r="AJ14" s="121"/>
      <c r="AK14" s="121"/>
      <c r="AL14" s="121">
        <f t="shared" si="2"/>
        <v>734.4</v>
      </c>
      <c r="AM14" s="120">
        <f>AL14</f>
        <v>734.4</v>
      </c>
      <c r="AN14" s="121">
        <f t="shared" si="3"/>
        <v>734.4</v>
      </c>
      <c r="AO14" s="145">
        <f t="shared" si="4"/>
        <v>1244.8</v>
      </c>
      <c r="AP14" s="151">
        <f t="shared" si="5"/>
        <v>1203.2</v>
      </c>
    </row>
    <row r="15" spans="2:42">
      <c r="B15" s="25">
        <f t="shared" si="6"/>
        <v>4</v>
      </c>
      <c r="C15" s="223" t="s">
        <v>209</v>
      </c>
      <c r="D15" s="302" t="s">
        <v>210</v>
      </c>
      <c r="E15" s="28"/>
      <c r="F15" s="29"/>
      <c r="G15" s="30">
        <v>2</v>
      </c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>
        <v>2</v>
      </c>
      <c r="Y15" s="101"/>
      <c r="Z15" s="118"/>
      <c r="AA15" s="118"/>
      <c r="AB15" s="118"/>
      <c r="AC15" s="119">
        <f>(E15*E42)+(F15*F42)+(G15*G42)+(H15*H42)+(I15*I42)+(J15*J42)+(K15*K42)+(L15*L42)+(M15*M42)+(N15*N42)+(O15*O42)+(P15*P42)+(Q15*Q42)+(R15*R42)+(S15*S42)+(T15*T42)+(U15*U42)+(V15*V42)+(W15*W42)+(X15*X42)+(Y15*Y42)+(Z15*Z42)+(AA15*AA42)+(AB15*AB42)</f>
        <v>490</v>
      </c>
      <c r="AD15" s="120">
        <f t="shared" si="0"/>
        <v>49</v>
      </c>
      <c r="AE15" s="121">
        <f t="shared" ref="AE15:AE38" si="7">AC15-AD15</f>
        <v>441</v>
      </c>
      <c r="AF15" s="121"/>
      <c r="AG15" s="121"/>
      <c r="AH15" s="121"/>
      <c r="AI15" s="121"/>
      <c r="AJ15" s="121"/>
      <c r="AK15" s="121"/>
      <c r="AL15" s="121">
        <f t="shared" si="2"/>
        <v>147</v>
      </c>
      <c r="AM15" s="120">
        <f t="shared" si="3"/>
        <v>147</v>
      </c>
      <c r="AN15" s="121">
        <f t="shared" si="3"/>
        <v>147</v>
      </c>
      <c r="AO15" s="145">
        <f t="shared" si="4"/>
        <v>49</v>
      </c>
      <c r="AP15" s="151">
        <f t="shared" si="5"/>
        <v>441</v>
      </c>
    </row>
    <row r="16" spans="2:42">
      <c r="B16" s="25">
        <f t="shared" si="6"/>
        <v>5</v>
      </c>
      <c r="C16" s="223" t="s">
        <v>211</v>
      </c>
      <c r="D16" s="302" t="s">
        <v>212</v>
      </c>
      <c r="E16" s="28">
        <v>2</v>
      </c>
      <c r="F16" s="29"/>
      <c r="G16" s="30">
        <v>3</v>
      </c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>
        <v>1</v>
      </c>
      <c r="U16" s="99"/>
      <c r="V16" s="99"/>
      <c r="W16" s="100"/>
      <c r="X16" s="101"/>
      <c r="Y16" s="101"/>
      <c r="Z16" s="118"/>
      <c r="AA16" s="118"/>
      <c r="AB16" s="118"/>
      <c r="AC16" s="119">
        <f>(E16*E42)+(F16*F42)+(G16*G42)+(H16*H42)+(I16*I42)+(J16*J42)+(K16*K42)+(L16*L42)+(M16*M42)+(N16*N42)+(O16*O42)+(P16*P42)+(Q16*Q42)+(R16*R42)+(S16*S42)+(T16*T42)+(U16*U42)+(V16*V42)+(W16*W42)+(X16*X42)+(Y16*Y42)+(Z16*Z42)+(AA16*AA42)+(AB16*AB42)</f>
        <v>7739</v>
      </c>
      <c r="AD16" s="120">
        <f t="shared" si="0"/>
        <v>773.9</v>
      </c>
      <c r="AE16" s="121">
        <f t="shared" si="7"/>
        <v>6965.1</v>
      </c>
      <c r="AF16" s="121">
        <v>1000</v>
      </c>
      <c r="AG16" s="121"/>
      <c r="AH16" s="121"/>
      <c r="AI16" s="121"/>
      <c r="AJ16" s="121"/>
      <c r="AK16" s="121"/>
      <c r="AL16" s="121">
        <f t="shared" si="2"/>
        <v>2321.7</v>
      </c>
      <c r="AM16" s="120">
        <f t="shared" si="3"/>
        <v>2321.7</v>
      </c>
      <c r="AN16" s="121">
        <f t="shared" si="3"/>
        <v>2321.7</v>
      </c>
      <c r="AO16" s="145">
        <f t="shared" si="4"/>
        <v>1773.9</v>
      </c>
      <c r="AP16" s="145"/>
    </row>
    <row r="17" spans="2:42">
      <c r="B17" s="25">
        <f t="shared" si="6"/>
        <v>6</v>
      </c>
      <c r="C17" s="223" t="s">
        <v>213</v>
      </c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>
        <v>1</v>
      </c>
      <c r="U17" s="99"/>
      <c r="V17" s="99"/>
      <c r="W17" s="100"/>
      <c r="X17" s="101"/>
      <c r="Y17" s="101"/>
      <c r="Z17" s="118"/>
      <c r="AA17" s="118"/>
      <c r="AB17" s="118"/>
      <c r="AC17" s="119">
        <f>(E17*E42)+(F17*F42)+(G17*G42)+(H17*H42)+(I17*I42)+(J17*J42)+(K17*K42)+(L17*L42)+(M17*M42)+(N17*N42)+(O17*O42)+(P17*P42)+(Q17*Q42)+(R17*R42)+(S17*S42)+(T17*T42)+(U17*U42)+(V17*V42)+(W17*W42)+(X17*X42)+(Y17*Y42)+(Z17*Z42)+(AA17*AA42)+(AB17*AB42)</f>
        <v>6800</v>
      </c>
      <c r="AD17" s="120">
        <f t="shared" si="0"/>
        <v>680</v>
      </c>
      <c r="AE17" s="121">
        <f t="shared" si="7"/>
        <v>6120</v>
      </c>
      <c r="AF17" s="121">
        <v>3000</v>
      </c>
      <c r="AG17" s="121"/>
      <c r="AH17" s="121"/>
      <c r="AI17" s="121"/>
      <c r="AJ17" s="121"/>
      <c r="AK17" s="121"/>
      <c r="AL17" s="121">
        <f t="shared" si="2"/>
        <v>2040</v>
      </c>
      <c r="AM17" s="120">
        <f t="shared" si="3"/>
        <v>2040</v>
      </c>
      <c r="AN17" s="121">
        <f t="shared" si="3"/>
        <v>2040</v>
      </c>
      <c r="AO17" s="145"/>
      <c r="AP17" s="145"/>
    </row>
    <row r="18" spans="2:42">
      <c r="B18" s="25">
        <f t="shared" si="6"/>
        <v>7</v>
      </c>
      <c r="C18" s="26" t="s">
        <v>214</v>
      </c>
      <c r="D18" s="302" t="s">
        <v>215</v>
      </c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>
        <v>1</v>
      </c>
      <c r="U18" s="99"/>
      <c r="V18" s="99"/>
      <c r="W18" s="100"/>
      <c r="X18" s="101"/>
      <c r="Y18" s="101"/>
      <c r="Z18" s="118"/>
      <c r="AA18" s="118"/>
      <c r="AB18" s="118"/>
      <c r="AC18" s="119">
        <f>(E18*E42)+(F18*F42)+(G18*G42)+(H18*H42)+(I18*I42)+(J18*J42)+(K18*K42)+(L18*L42)+(M18*M42)+(N18*N42)+(O18*O42)+(P18*P42)+(Q18*Q42)+(R18*R42)+(S18*S42)+(T18*T42)+(U18*U42)+(V18*V42)+(W18*W42)+(X18*X42)+(Y18*Y42)+(Z18*Z42)+(AA18*AA42)+(AB18*AB42)</f>
        <v>6800</v>
      </c>
      <c r="AD18" s="120">
        <f t="shared" si="0"/>
        <v>680</v>
      </c>
      <c r="AE18" s="121">
        <f t="shared" si="7"/>
        <v>6120</v>
      </c>
      <c r="AF18" s="121"/>
      <c r="AG18" s="121"/>
      <c r="AH18" s="121"/>
      <c r="AI18" s="121"/>
      <c r="AJ18" s="121"/>
      <c r="AK18" s="121"/>
      <c r="AL18" s="121">
        <f t="shared" si="2"/>
        <v>2040</v>
      </c>
      <c r="AM18" s="120">
        <f t="shared" si="3"/>
        <v>2040</v>
      </c>
      <c r="AN18" s="121">
        <f t="shared" si="3"/>
        <v>2040</v>
      </c>
      <c r="AO18" s="145"/>
      <c r="AP18" s="145"/>
    </row>
    <row r="19" spans="2:42">
      <c r="B19" s="25">
        <f t="shared" si="6"/>
        <v>8</v>
      </c>
      <c r="C19" s="32" t="s">
        <v>216</v>
      </c>
      <c r="D19" s="302" t="s">
        <v>217</v>
      </c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>
        <v>1</v>
      </c>
      <c r="U19" s="99"/>
      <c r="V19" s="99"/>
      <c r="W19" s="100"/>
      <c r="X19" s="101"/>
      <c r="Y19" s="101"/>
      <c r="Z19" s="118"/>
      <c r="AA19" s="118"/>
      <c r="AB19" s="118"/>
      <c r="AC19" s="119">
        <f>(E19*E42)+(F19*F42)+(G19*G42)+(H19*H42)+(I19*I42)+(J19*J42)+(K19*K42)+(L19*L42)+(M19*M42)+(N19*N42)+(O19*O42)+(P19*P42)+(Q19*Q42)+(R19*R42)+(S19*S42)+(T19*T42)+(U19*U42)+(V19*V42)+(W19*W42)+(X19*X42)+(Y19*Y42)+(Z19*Z42)+(AA19*AA42)+(AB19*AB42)</f>
        <v>6800</v>
      </c>
      <c r="AD19" s="120">
        <f t="shared" si="0"/>
        <v>680</v>
      </c>
      <c r="AE19" s="121">
        <f t="shared" si="7"/>
        <v>6120</v>
      </c>
      <c r="AF19" s="121"/>
      <c r="AG19" s="121"/>
      <c r="AH19" s="121"/>
      <c r="AI19" s="121"/>
      <c r="AJ19" s="121"/>
      <c r="AK19" s="121"/>
      <c r="AL19" s="121">
        <f t="shared" si="2"/>
        <v>2040</v>
      </c>
      <c r="AM19" s="120">
        <f t="shared" si="3"/>
        <v>2040</v>
      </c>
      <c r="AN19" s="121">
        <f t="shared" si="3"/>
        <v>2040</v>
      </c>
      <c r="AO19" s="145"/>
      <c r="AP19" s="145"/>
    </row>
    <row r="20" spans="2:42">
      <c r="B20" s="25">
        <f t="shared" si="6"/>
        <v>9</v>
      </c>
      <c r="C20" s="32" t="s">
        <v>218</v>
      </c>
      <c r="D20" s="302" t="s">
        <v>219</v>
      </c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>
        <v>1</v>
      </c>
      <c r="U20" s="99"/>
      <c r="V20" s="99"/>
      <c r="W20" s="100"/>
      <c r="X20" s="101"/>
      <c r="Y20" s="101"/>
      <c r="Z20" s="118">
        <v>1</v>
      </c>
      <c r="AA20" s="118"/>
      <c r="AB20" s="118"/>
      <c r="AC20" s="119">
        <f>(E20*E42)+(F20*F42)+(G20*G42)+(H20*H42)+(I20*I42)+(J20*J42)+(K20*K42)+(L20*L42)+(M20*M42)+(N20*N42)+(O20*O42)+(P20*P42)+(Q20*Q42)+(R20*R42)+(S20*S42)+(T20*T42)+(U20*U42)+(V20*V42)+(W20*W42)+(X20*X42)+(Y20*Y42)+(Z20*Z42)+(AA20*AA42)+(AB20*AB42)</f>
        <v>8704</v>
      </c>
      <c r="AD20" s="120">
        <f t="shared" si="0"/>
        <v>870.4</v>
      </c>
      <c r="AE20" s="121">
        <f t="shared" si="7"/>
        <v>7833.6</v>
      </c>
      <c r="AF20" s="121"/>
      <c r="AG20" s="121"/>
      <c r="AH20" s="121"/>
      <c r="AI20" s="121"/>
      <c r="AJ20" s="121"/>
      <c r="AK20" s="121"/>
      <c r="AL20" s="121">
        <f t="shared" si="2"/>
        <v>2611.2</v>
      </c>
      <c r="AM20" s="120">
        <f t="shared" si="3"/>
        <v>2611.2</v>
      </c>
      <c r="AN20" s="121">
        <f t="shared" si="3"/>
        <v>2611.2</v>
      </c>
      <c r="AO20" s="145"/>
      <c r="AP20" s="145"/>
    </row>
    <row r="21" spans="2:42">
      <c r="B21" s="25">
        <f t="shared" si="6"/>
        <v>10</v>
      </c>
      <c r="C21" s="32" t="s">
        <v>220</v>
      </c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>
        <v>1</v>
      </c>
      <c r="U21" s="99"/>
      <c r="V21" s="99"/>
      <c r="W21" s="100"/>
      <c r="X21" s="101"/>
      <c r="Y21" s="101"/>
      <c r="Z21" s="118"/>
      <c r="AA21" s="118"/>
      <c r="AB21" s="118"/>
      <c r="AC21" s="119">
        <f>(E21*E42)+(F21*F42)+(G21*G42)+(H21*H42)+(I21*I42)+(J21*J42)+(K21*J42)+(L21*L42)+(M21*M42)+(N21*N42)+(O21*O42)+(P21*P42)+(Q21*Q42)+(R21*R42)+(S21*S42)+(T21*T42)+(U21*U42)+(V21*V42)+(W21*W42)+(X21*X42)+(Y21*Y42)+(Z21*Z42)+(AA21*AA42)+(AB21*AB42)</f>
        <v>6800</v>
      </c>
      <c r="AD21" s="120">
        <f t="shared" si="0"/>
        <v>680</v>
      </c>
      <c r="AE21" s="121">
        <f t="shared" si="7"/>
        <v>6120</v>
      </c>
      <c r="AF21" s="121"/>
      <c r="AG21" s="121"/>
      <c r="AH21" s="121"/>
      <c r="AI21" s="121"/>
      <c r="AJ21" s="121"/>
      <c r="AK21" s="121"/>
      <c r="AL21" s="121">
        <f t="shared" si="2"/>
        <v>2040</v>
      </c>
      <c r="AM21" s="120">
        <f t="shared" si="3"/>
        <v>2040</v>
      </c>
      <c r="AN21" s="121">
        <f t="shared" si="3"/>
        <v>2040</v>
      </c>
      <c r="AO21" s="145"/>
      <c r="AP21" s="145"/>
    </row>
    <row r="22" spans="2:42">
      <c r="B22" s="25">
        <f t="shared" si="6"/>
        <v>11</v>
      </c>
      <c r="C22" s="32" t="s">
        <v>221</v>
      </c>
      <c r="D22" s="302" t="s">
        <v>222</v>
      </c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>
        <v>1</v>
      </c>
      <c r="U22" s="99"/>
      <c r="V22" s="99"/>
      <c r="W22" s="100"/>
      <c r="X22" s="101"/>
      <c r="Y22" s="101"/>
      <c r="Z22" s="118"/>
      <c r="AA22" s="118"/>
      <c r="AB22" s="118"/>
      <c r="AC22" s="119">
        <f>(E22*E42)+(F22*F42)+(G22*G42)+(H22*H42)+(I22*I42)+(J22*J42)+(K22*K42)+(L22*L42)+(M22*M42)+(N22*N42)+(O22*O42)+(P22*P42)+(Q22*Q42)+(R22*R42)+(S22*S42)+(T22*T42)+(U22*U42)+(V22*V42)+(W22*W42)+(X22*X42)+(Y22*Y42)+(Z22*Z42)+(AA22*AA42)+(AB22*AB42)</f>
        <v>6800</v>
      </c>
      <c r="AD22" s="120">
        <f t="shared" si="0"/>
        <v>680</v>
      </c>
      <c r="AE22" s="121">
        <f t="shared" si="7"/>
        <v>6120</v>
      </c>
      <c r="AF22" s="121"/>
      <c r="AG22" s="121"/>
      <c r="AH22" s="121"/>
      <c r="AI22" s="121"/>
      <c r="AJ22" s="121"/>
      <c r="AK22" s="121"/>
      <c r="AL22" s="121">
        <f t="shared" si="2"/>
        <v>2040</v>
      </c>
      <c r="AM22" s="120">
        <f t="shared" si="3"/>
        <v>2040</v>
      </c>
      <c r="AN22" s="121">
        <f t="shared" si="3"/>
        <v>2040</v>
      </c>
      <c r="AO22" s="145"/>
      <c r="AP22" s="145"/>
    </row>
    <row r="23" spans="2:42">
      <c r="B23" s="25">
        <f t="shared" si="6"/>
        <v>12</v>
      </c>
      <c r="C23" s="224" t="s">
        <v>196</v>
      </c>
      <c r="D23" s="101" t="s">
        <v>223</v>
      </c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>
        <v>1</v>
      </c>
      <c r="U23" s="99"/>
      <c r="V23" s="99"/>
      <c r="W23" s="100"/>
      <c r="X23" s="101"/>
      <c r="Y23" s="101"/>
      <c r="Z23" s="118"/>
      <c r="AA23" s="118"/>
      <c r="AB23" s="118"/>
      <c r="AC23" s="119">
        <f>(E23*E42)+(F23*F42)+(G23*G42)+(H23*H42)+(I23*I42)+(J23*J42)+(K23*K42)+(L23*L42)+(M23*M42)+(N23*N42)+(O23*O42)+(P23*P42)+(Q23*Q42)+(R23*R42)+(S23*S42)+(T23*T42)+(U23*U42)+(V23*V42)+(W23*W42)+(X23*X42)+(Y23*Y42)+(Z23*Z42)+(AA23*AA42)+(AB23*AB42)</f>
        <v>6800</v>
      </c>
      <c r="AD23" s="120">
        <f t="shared" si="0"/>
        <v>680</v>
      </c>
      <c r="AE23" s="121">
        <f t="shared" si="7"/>
        <v>6120</v>
      </c>
      <c r="AF23" s="121"/>
      <c r="AG23" s="121"/>
      <c r="AH23" s="121"/>
      <c r="AI23" s="121"/>
      <c r="AJ23" s="121"/>
      <c r="AK23" s="121"/>
      <c r="AL23" s="121">
        <f t="shared" si="2"/>
        <v>2040</v>
      </c>
      <c r="AM23" s="120">
        <f t="shared" si="3"/>
        <v>2040</v>
      </c>
      <c r="AN23" s="121">
        <f t="shared" si="3"/>
        <v>2040</v>
      </c>
      <c r="AO23" s="145"/>
      <c r="AP23" s="145"/>
    </row>
    <row r="24" spans="2:42">
      <c r="B24" s="25">
        <f t="shared" si="6"/>
        <v>13</v>
      </c>
      <c r="C24" s="224" t="s">
        <v>224</v>
      </c>
      <c r="D24" s="101" t="s">
        <v>225</v>
      </c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>
        <v>1</v>
      </c>
      <c r="U24" s="99"/>
      <c r="V24" s="99"/>
      <c r="W24" s="100"/>
      <c r="X24" s="101"/>
      <c r="Y24" s="101"/>
      <c r="Z24" s="118"/>
      <c r="AA24" s="118"/>
      <c r="AB24" s="118"/>
      <c r="AC24" s="119">
        <f>(E24*E42)+(F24*F42)+(G24*G42)+(H24*H42)+(I24*I42)+(J24*J42)+(K24*J42)+(L24*L42)+(M24*M42)+(N24*N42)+(O24*O42)+(P24*P42)+(Q24*Q42)+(R24*R42)+(S24*S42)+(T24*T42)+(U24*U42)+(V24*V42)+(W24*W42)+(X24*X42)+(Y24*Y42)+(Z24*Z42)+(AA24*AA42)+(AB24*AB42)</f>
        <v>6800</v>
      </c>
      <c r="AD24" s="120">
        <f t="shared" si="0"/>
        <v>680</v>
      </c>
      <c r="AE24" s="121">
        <f t="shared" si="7"/>
        <v>6120</v>
      </c>
      <c r="AF24" s="121"/>
      <c r="AG24" s="121"/>
      <c r="AH24" s="121"/>
      <c r="AI24" s="121"/>
      <c r="AJ24" s="121"/>
      <c r="AK24" s="121"/>
      <c r="AL24" s="121">
        <f t="shared" si="2"/>
        <v>2040</v>
      </c>
      <c r="AM24" s="120">
        <f t="shared" si="3"/>
        <v>2040</v>
      </c>
      <c r="AN24" s="121">
        <f t="shared" si="3"/>
        <v>2040</v>
      </c>
      <c r="AO24" s="145"/>
      <c r="AP24" s="145"/>
    </row>
    <row r="25" spans="2:42">
      <c r="B25" s="25">
        <f t="shared" si="6"/>
        <v>14</v>
      </c>
      <c r="C25" s="224" t="s">
        <v>195</v>
      </c>
      <c r="D25" s="101" t="s">
        <v>226</v>
      </c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>
        <v>1</v>
      </c>
      <c r="U25" s="99"/>
      <c r="V25" s="99"/>
      <c r="W25" s="100"/>
      <c r="X25" s="101"/>
      <c r="Y25" s="101"/>
      <c r="Z25" s="118"/>
      <c r="AA25" s="118"/>
      <c r="AB25" s="118"/>
      <c r="AC25" s="119">
        <f>(E25*E42)+(F25*F42)+(G25*G42)+(H25*H42)+(I25*I42)+(J25*J42)+(K25*K42)+(L25*L42)+(M25*M42)+(N25*N42)+(O25*O42)+(P25*P42)+(Q25*Q42)+(R25*R42)+(S25*S42)+(T25*T42)+(U25*U42)+(V25*V42)+(W25*W42)+(X25*X42)+(Y25*Y42)+(Z25*Z42)+(AA25*AA42)+(AB25*AB42)</f>
        <v>6800</v>
      </c>
      <c r="AD25" s="120">
        <f t="shared" si="0"/>
        <v>680</v>
      </c>
      <c r="AE25" s="121">
        <f t="shared" si="7"/>
        <v>6120</v>
      </c>
      <c r="AF25" s="121"/>
      <c r="AG25" s="121"/>
      <c r="AH25" s="121"/>
      <c r="AI25" s="121"/>
      <c r="AJ25" s="121"/>
      <c r="AK25" s="121"/>
      <c r="AL25" s="121">
        <f t="shared" si="2"/>
        <v>2040</v>
      </c>
      <c r="AM25" s="120">
        <f t="shared" ref="AM25:AN38" si="8">AL25</f>
        <v>2040</v>
      </c>
      <c r="AN25" s="121">
        <f t="shared" si="8"/>
        <v>2040</v>
      </c>
      <c r="AO25" s="145"/>
      <c r="AP25" s="145"/>
    </row>
    <row r="26" spans="2:42">
      <c r="B26" s="25">
        <f t="shared" si="6"/>
        <v>15</v>
      </c>
      <c r="C26" s="224" t="s">
        <v>227</v>
      </c>
      <c r="D26" s="101" t="s">
        <v>228</v>
      </c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>
        <v>1</v>
      </c>
      <c r="U26" s="99"/>
      <c r="V26" s="99"/>
      <c r="W26" s="100"/>
      <c r="X26" s="101"/>
      <c r="Y26" s="101"/>
      <c r="Z26" s="118"/>
      <c r="AA26" s="118"/>
      <c r="AB26" s="118"/>
      <c r="AC26" s="119">
        <f>(E26*E42)+(F26*F42)+(G26*G42)+(H26*H42)+(I26*I42)+(J26*J42)+(K26*K42)+(L26*L42)+(M26*M42)+(N26*N42)+(O26*O42)+(P26*P42)+(Q26*Q42)+(R26*R42)+(S26*S42)+(T26*T42)+(U26*U42)+(V26*V42)+(W26*W42)+(X26*X42)+(Y26*Y42)+(Z26*Z42)+(AA26*AA42)+(AB26*AB42)</f>
        <v>6800</v>
      </c>
      <c r="AD26" s="120">
        <f t="shared" si="0"/>
        <v>680</v>
      </c>
      <c r="AE26" s="121">
        <f t="shared" si="7"/>
        <v>6120</v>
      </c>
      <c r="AF26" s="121"/>
      <c r="AG26" s="121"/>
      <c r="AH26" s="121"/>
      <c r="AI26" s="121"/>
      <c r="AJ26" s="121"/>
      <c r="AK26" s="121"/>
      <c r="AL26" s="121">
        <f t="shared" si="2"/>
        <v>2040</v>
      </c>
      <c r="AM26" s="120">
        <f t="shared" si="8"/>
        <v>2040</v>
      </c>
      <c r="AN26" s="121">
        <f t="shared" si="8"/>
        <v>2040</v>
      </c>
      <c r="AO26" s="145"/>
      <c r="AP26" s="145"/>
    </row>
    <row r="27" spans="2:42">
      <c r="B27" s="25">
        <f t="shared" si="6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(E27*E42)+(F27*F42)+(G27*G42)+(H27*H42)+(I27*I42)+(J27*J42)+(K27*J42)+(L27*L42)+(M27*M42)+(N27*N42)+(O27*O42)+(P27*P42)+(Q27*Q42)+(R27*R42)+(S27*S42)+(T27*T42)+(U27*U42)+(V27*V42)+(W27*W42)+(X27*X42)+(Y27*Y42)+(Z27*Z42)+(AA27*AA42)+(AB27*AB42)</f>
        <v>0</v>
      </c>
      <c r="AD27" s="120">
        <f t="shared" si="0"/>
        <v>0</v>
      </c>
      <c r="AE27" s="121">
        <f t="shared" si="7"/>
        <v>0</v>
      </c>
      <c r="AF27" s="121"/>
      <c r="AG27" s="121"/>
      <c r="AH27" s="121"/>
      <c r="AI27" s="121"/>
      <c r="AJ27" s="121"/>
      <c r="AK27" s="121"/>
      <c r="AL27" s="121">
        <f t="shared" si="2"/>
        <v>0</v>
      </c>
      <c r="AM27" s="120">
        <f t="shared" si="8"/>
        <v>0</v>
      </c>
      <c r="AN27" s="121">
        <f t="shared" si="8"/>
        <v>0</v>
      </c>
      <c r="AO27" s="145"/>
      <c r="AP27" s="145"/>
    </row>
    <row r="28" spans="2:42">
      <c r="B28" s="25">
        <f t="shared" si="6"/>
        <v>17</v>
      </c>
      <c r="C28" s="225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(E28*E42)+(F28*F42)+(G28*G42)+(H28*H42)+(I28*I42)+(J28*J42)+(K28*K42)+(L28*L42)+(M28*M42)+(N28*N42)+(O28*O42)+(P28*P42)+(Q28*Q42)+(R28*R42)+(S28*S42)+(T28*T42)+(U28*U42)+(V28*V42)+(W28*W42)+(X28*X42)+(Y28*Y42)+(Z28*Z42)+(AA28*AA42)+(AB28*AB42)</f>
        <v>0</v>
      </c>
      <c r="AD28" s="120">
        <f t="shared" si="0"/>
        <v>0</v>
      </c>
      <c r="AE28" s="121">
        <f t="shared" si="7"/>
        <v>0</v>
      </c>
      <c r="AF28" s="121"/>
      <c r="AG28" s="121"/>
      <c r="AH28" s="121"/>
      <c r="AI28" s="121"/>
      <c r="AJ28" s="121"/>
      <c r="AK28" s="121"/>
      <c r="AL28" s="121">
        <f t="shared" si="2"/>
        <v>0</v>
      </c>
      <c r="AM28" s="120">
        <f t="shared" si="8"/>
        <v>0</v>
      </c>
      <c r="AN28" s="121">
        <f t="shared" si="8"/>
        <v>0</v>
      </c>
      <c r="AO28" s="145"/>
      <c r="AP28" s="145"/>
    </row>
    <row r="29" spans="2:42">
      <c r="B29" s="25">
        <f t="shared" si="6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(E29*E42)+(F29*F42)+(G29*G42)+(H29*H42)+(I29*I42)+(J29*J42)+(K29*K42)+(L29*L42)+(M29*M42)+(N29*N42)+(O29*O42)+(P29*P42)+(Q29*Q42)+(R29*R42)+(S29*S42)+(T29*T42)+(U29*U42)+(V29*V42)+(W29*W42)+(X29*X42)+(Y29*Y42)+(Z29*Z42)+(AA29*AA42)+(AB29*AB42)</f>
        <v>0</v>
      </c>
      <c r="AD29" s="120">
        <f t="shared" si="0"/>
        <v>0</v>
      </c>
      <c r="AE29" s="121">
        <f t="shared" si="7"/>
        <v>0</v>
      </c>
      <c r="AF29" s="121"/>
      <c r="AG29" s="121"/>
      <c r="AH29" s="121"/>
      <c r="AI29" s="121"/>
      <c r="AJ29" s="121"/>
      <c r="AK29" s="121"/>
      <c r="AL29" s="121">
        <f t="shared" si="2"/>
        <v>0</v>
      </c>
      <c r="AM29" s="120">
        <f t="shared" si="8"/>
        <v>0</v>
      </c>
      <c r="AN29" s="121">
        <f t="shared" si="8"/>
        <v>0</v>
      </c>
      <c r="AO29" s="145"/>
      <c r="AP29" s="145"/>
    </row>
    <row r="30" spans="2:42">
      <c r="B30" s="25">
        <f t="shared" si="6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(E30*E42)+(F30*F42)+(G30*G42)+(H30*H42)+(I30*I42)+(J30*J42)+(K30*J42)+(L30*L42)+(M30*M42)+(N30*N42)+(O30*O42)+(P30*P42)+(Q30*Q42)+(R30*R42)+(S30*S42)+(T30*T42)+(U30*U42)+(V30*V42)+(W30*W42)+(X30*X42)+(Y30*Y42)+(Z30*Z42)+(AA30*AA42)+(AB30*AB42)</f>
        <v>0</v>
      </c>
      <c r="AD30" s="120">
        <f t="shared" si="0"/>
        <v>0</v>
      </c>
      <c r="AE30" s="121">
        <f t="shared" si="7"/>
        <v>0</v>
      </c>
      <c r="AF30" s="121"/>
      <c r="AG30" s="121"/>
      <c r="AH30" s="121"/>
      <c r="AI30" s="121"/>
      <c r="AJ30" s="121"/>
      <c r="AK30" s="121"/>
      <c r="AL30" s="121">
        <f t="shared" si="2"/>
        <v>0</v>
      </c>
      <c r="AM30" s="120">
        <f t="shared" si="8"/>
        <v>0</v>
      </c>
      <c r="AN30" s="121">
        <f t="shared" si="8"/>
        <v>0</v>
      </c>
      <c r="AO30" s="145"/>
      <c r="AP30" s="145"/>
    </row>
    <row r="31" spans="2:42">
      <c r="B31" s="25">
        <f t="shared" si="6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(E31*E42)+(F31*F42)+(G31*G42)+(H31*H42)+(I31*I42)+(J31*J42)+(K31*K42)+(L31*L42)+(M31*M42)+(N31*N42)+(O31*O42)+(P31*P42)+(Q31*Q42)+(R31*R42)+(S31*S42)+(T31*T42)+(U31*U42)+(V31*V42)+(W31*W42)+(X31*X42)+(Y31*Y42)+(Z31*Z42)+(AA31*AA42)+(AB31*AB42)</f>
        <v>0</v>
      </c>
      <c r="AD31" s="120">
        <f t="shared" si="0"/>
        <v>0</v>
      </c>
      <c r="AE31" s="121">
        <f t="shared" si="7"/>
        <v>0</v>
      </c>
      <c r="AF31" s="121"/>
      <c r="AG31" s="121"/>
      <c r="AH31" s="121"/>
      <c r="AI31" s="121"/>
      <c r="AJ31" s="121"/>
      <c r="AK31" s="121"/>
      <c r="AL31" s="121">
        <f t="shared" si="2"/>
        <v>0</v>
      </c>
      <c r="AM31" s="120">
        <f t="shared" si="8"/>
        <v>0</v>
      </c>
      <c r="AN31" s="121">
        <f t="shared" si="8"/>
        <v>0</v>
      </c>
      <c r="AO31" s="145"/>
      <c r="AP31" s="145"/>
    </row>
    <row r="32" spans="2:42">
      <c r="B32" s="25">
        <f t="shared" si="6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(E32*E42)+(F32*F42)+(G32*G42)+(H32*H42)+(I32*I42)+(J32*J42)+(K32*K42)+(L32*L42)+(M32*M42)+(N32*N42)+(O32*O42)+(P32*P42)+(Q32*Q42)+(R32*R42)+(S32*S42)+(T32*T42)+(U32*U42)+(V32*V42)+(W32*W42)+(X32*X42)+(Y32*Y42)+(Z32*Z42)+(AA32*AA42)+(AB32*AB42)</f>
        <v>0</v>
      </c>
      <c r="AD32" s="120">
        <f t="shared" si="0"/>
        <v>0</v>
      </c>
      <c r="AE32" s="121">
        <f t="shared" si="7"/>
        <v>0</v>
      </c>
      <c r="AF32" s="121"/>
      <c r="AG32" s="121"/>
      <c r="AH32" s="121"/>
      <c r="AI32" s="121"/>
      <c r="AJ32" s="121"/>
      <c r="AK32" s="121"/>
      <c r="AL32" s="121">
        <f t="shared" si="2"/>
        <v>0</v>
      </c>
      <c r="AM32" s="120">
        <f t="shared" si="8"/>
        <v>0</v>
      </c>
      <c r="AN32" s="121">
        <f t="shared" si="8"/>
        <v>0</v>
      </c>
      <c r="AO32" s="145"/>
      <c r="AP32" s="145"/>
    </row>
    <row r="33" spans="2:42">
      <c r="B33" s="25">
        <f t="shared" si="6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(E33*E42)+(F33*F42)+(G33*G42)+(H33*H42)+(I33*I42)+(J33*J42)+(K33*J42)+(L33*L42)+(M33*M42)+(N33*N42)+(O33*O42)+(P33*P42)+(Q33*Q42)+(R33*R42)+(S33*S42)+(T33*T42)+(U33*U42)+(V33*V42)+(W33*W42)+(X33*X42)+(Y33*Y42)+(Z33*Z42)+(AA33*AA42)+(AB33*AB42)</f>
        <v>0</v>
      </c>
      <c r="AD33" s="120">
        <f t="shared" si="0"/>
        <v>0</v>
      </c>
      <c r="AE33" s="121">
        <f t="shared" si="7"/>
        <v>0</v>
      </c>
      <c r="AF33" s="121"/>
      <c r="AG33" s="121"/>
      <c r="AH33" s="121"/>
      <c r="AI33" s="121"/>
      <c r="AJ33" s="121"/>
      <c r="AK33" s="121"/>
      <c r="AL33" s="121">
        <f t="shared" si="2"/>
        <v>0</v>
      </c>
      <c r="AM33" s="120">
        <f t="shared" si="8"/>
        <v>0</v>
      </c>
      <c r="AN33" s="121">
        <f t="shared" si="8"/>
        <v>0</v>
      </c>
      <c r="AO33" s="145"/>
      <c r="AP33" s="145"/>
    </row>
    <row r="34" spans="2:42">
      <c r="B34" s="25">
        <f t="shared" si="6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(E34*E42)+(F34*F42)+(G34*G42)+(H34*H42)+(I34*I42)+(J34*J42)+(K34*K42)+(L34*L42)+(M34*M42)+(N34*N42)+(O34*O42)+(P34*P42)+(Q34*Q42)+(R34*R42)+(S34*S42)+(T34*T42)+(U34*U42)+(V34*V42)+(W34*W42)+(X34*X42)+(Y34*Y42)+(Z34*Z42)+(AA34*AA42)+(AB34*AB42)</f>
        <v>0</v>
      </c>
      <c r="AD34" s="120">
        <f t="shared" si="0"/>
        <v>0</v>
      </c>
      <c r="AE34" s="121">
        <f t="shared" si="7"/>
        <v>0</v>
      </c>
      <c r="AF34" s="121"/>
      <c r="AG34" s="121"/>
      <c r="AH34" s="121"/>
      <c r="AI34" s="121"/>
      <c r="AJ34" s="121"/>
      <c r="AK34" s="121"/>
      <c r="AL34" s="121">
        <f t="shared" si="2"/>
        <v>0</v>
      </c>
      <c r="AM34" s="120">
        <f t="shared" si="8"/>
        <v>0</v>
      </c>
      <c r="AN34" s="121">
        <f t="shared" si="8"/>
        <v>0</v>
      </c>
      <c r="AO34" s="145"/>
      <c r="AP34" s="145"/>
    </row>
    <row r="35" spans="2:42">
      <c r="B35" s="25">
        <f t="shared" si="6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(E35*E42)+(F35*F42)+(G35*G42)+(H35*H42)+(I35*I42)+(J35*J42)+(K35*K42)+(L35*L42)+(M35*M42)+(N35*N42)+(O35*O42)+(P35*P42)+(Q35*Q42)+(R35*R42)+(S35*S42)+(T35*T42)+(U35*U42)+(V35*V42)+(W35*W42)+(X35*X42)+(Y35*Y42)+(Z35*Z42)+(AA35*AA42)+(AB35*AB42)</f>
        <v>0</v>
      </c>
      <c r="AD35" s="120">
        <f t="shared" si="0"/>
        <v>0</v>
      </c>
      <c r="AE35" s="121">
        <f t="shared" si="7"/>
        <v>0</v>
      </c>
      <c r="AF35" s="121"/>
      <c r="AG35" s="121"/>
      <c r="AH35" s="121"/>
      <c r="AI35" s="121"/>
      <c r="AJ35" s="121"/>
      <c r="AK35" s="121"/>
      <c r="AL35" s="121">
        <f t="shared" si="2"/>
        <v>0</v>
      </c>
      <c r="AM35" s="120">
        <f t="shared" si="8"/>
        <v>0</v>
      </c>
      <c r="AN35" s="121">
        <f t="shared" si="8"/>
        <v>0</v>
      </c>
      <c r="AO35" s="145"/>
      <c r="AP35" s="145"/>
    </row>
    <row r="36" spans="2:42">
      <c r="B36" s="25">
        <f t="shared" si="6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(E36*E42)+(F36*F42)+(G36*G42)+(H36*H42)+(I36*I42)+(J36*J42)+(K36*J42)+(L36*L42)+(M36*M42)+(N36*N42)+(O36*O42)+(P36*P42)+(Q36*Q42)+(R36*R42)+(S36*S42)+(T36*T42)+(U36*U42)+(V36*V42)+(W36*W42)+(X36*X42)+(Y36*Y42)+(Z36*Z42)+(AA36*AA42)+(AB36*AB42)</f>
        <v>0</v>
      </c>
      <c r="AD36" s="120">
        <f t="shared" si="0"/>
        <v>0</v>
      </c>
      <c r="AE36" s="121">
        <f t="shared" si="7"/>
        <v>0</v>
      </c>
      <c r="AF36" s="121"/>
      <c r="AG36" s="121"/>
      <c r="AH36" s="121"/>
      <c r="AI36" s="121"/>
      <c r="AJ36" s="121"/>
      <c r="AK36" s="121"/>
      <c r="AL36" s="121">
        <f t="shared" si="2"/>
        <v>0</v>
      </c>
      <c r="AM36" s="120">
        <f t="shared" si="8"/>
        <v>0</v>
      </c>
      <c r="AN36" s="121">
        <f t="shared" si="8"/>
        <v>0</v>
      </c>
      <c r="AO36" s="145"/>
      <c r="AP36" s="145"/>
    </row>
    <row r="37" spans="2:42">
      <c r="B37" s="25">
        <f t="shared" si="6"/>
        <v>26</v>
      </c>
      <c r="C37" s="32"/>
      <c r="D37" s="33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(E37*E42)+(F37*F42)+(G37*G42)+(H37*H42)+(I37*I42)+(J37*J42)+(K37*K42)+(L37*L42)+(M37*M42)+(N37*N42)+(O37*O42)+(P37*P42)+(Q37*Q42)+(R37*R42)+(S37*S42)+(T37*T42)+(U37*U42)+(V37*V42)+(W37*W42)+(X37*X42)+(Y37*Y42)+(Z37*Z42)+(AA37*AA42)+(AB37*AB42)</f>
        <v>0</v>
      </c>
      <c r="AD37" s="120">
        <f t="shared" si="0"/>
        <v>0</v>
      </c>
      <c r="AE37" s="121">
        <f t="shared" si="7"/>
        <v>0</v>
      </c>
      <c r="AF37" s="121"/>
      <c r="AG37" s="121"/>
      <c r="AH37" s="121"/>
      <c r="AI37" s="121"/>
      <c r="AJ37" s="121"/>
      <c r="AK37" s="121"/>
      <c r="AL37" s="121">
        <f t="shared" si="2"/>
        <v>0</v>
      </c>
      <c r="AM37" s="120">
        <f t="shared" si="8"/>
        <v>0</v>
      </c>
      <c r="AN37" s="121">
        <f t="shared" si="8"/>
        <v>0</v>
      </c>
      <c r="AO37" s="145"/>
      <c r="AP37" s="145"/>
    </row>
    <row r="38" spans="2:42">
      <c r="B38" s="25">
        <f t="shared" si="6"/>
        <v>27</v>
      </c>
      <c r="C38" s="26"/>
      <c r="D38" s="25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102"/>
      <c r="R38" s="97"/>
      <c r="S38" s="97"/>
      <c r="T38" s="98"/>
      <c r="U38" s="99"/>
      <c r="V38" s="99"/>
      <c r="W38" s="100"/>
      <c r="X38" s="103"/>
      <c r="Y38" s="103"/>
      <c r="Z38" s="122"/>
      <c r="AA38" s="122"/>
      <c r="AB38" s="122"/>
      <c r="AC38" s="119">
        <f>(E38*E42)+(F38*F42)+(G38*G42)+(H38*H42)+(I38*I42)+(J38*J42)+(K38*K42)+(L38*L42)+(M38*M42)+(N38*N42)+(O38*O42)+(P38*P42)+(Q38*Q42)+(R38*R42)+(S38*S42)+(T38*T42)+(U38*U42)+(V38*V42)+(W38*W42)+(X38*X42)+(Y38*Y42)+(Z38*Z42)+(AA38*AA42)+(AB38*AB42)</f>
        <v>0</v>
      </c>
      <c r="AD38" s="120">
        <f t="shared" si="0"/>
        <v>0</v>
      </c>
      <c r="AE38" s="121">
        <f t="shared" si="7"/>
        <v>0</v>
      </c>
      <c r="AF38" s="135"/>
      <c r="AG38" s="135"/>
      <c r="AH38" s="135"/>
      <c r="AI38" s="135"/>
      <c r="AJ38" s="135"/>
      <c r="AK38" s="135"/>
      <c r="AL38" s="123">
        <f t="shared" si="2"/>
        <v>0</v>
      </c>
      <c r="AM38" s="130">
        <f t="shared" si="8"/>
        <v>0</v>
      </c>
      <c r="AN38" s="123">
        <f t="shared" si="8"/>
        <v>0</v>
      </c>
      <c r="AO38" s="145"/>
      <c r="AP38" s="145"/>
    </row>
    <row r="39" ht="18.95" customHeight="1" spans="2:42">
      <c r="B39" s="34" t="s">
        <v>61</v>
      </c>
      <c r="C39" s="35">
        <f>COUNTA(C12:C38)</f>
        <v>15</v>
      </c>
      <c r="D39" s="36"/>
      <c r="E39" s="37">
        <f t="shared" ref="E39:AE39" si="9">SUM(E12:E38)</f>
        <v>4</v>
      </c>
      <c r="F39" s="37">
        <f t="shared" si="9"/>
        <v>2</v>
      </c>
      <c r="G39" s="38">
        <f t="shared" si="9"/>
        <v>8</v>
      </c>
      <c r="H39" s="38">
        <f t="shared" si="9"/>
        <v>0</v>
      </c>
      <c r="I39" s="70">
        <f t="shared" si="9"/>
        <v>0</v>
      </c>
      <c r="J39" s="70">
        <f t="shared" si="9"/>
        <v>0</v>
      </c>
      <c r="K39" s="71">
        <f t="shared" si="9"/>
        <v>0</v>
      </c>
      <c r="L39" s="71">
        <f t="shared" si="9"/>
        <v>0</v>
      </c>
      <c r="M39" s="72">
        <f t="shared" si="9"/>
        <v>0</v>
      </c>
      <c r="N39" s="72">
        <f t="shared" si="9"/>
        <v>0</v>
      </c>
      <c r="O39" s="71">
        <f t="shared" si="9"/>
        <v>0</v>
      </c>
      <c r="P39" s="71">
        <f t="shared" si="9"/>
        <v>2</v>
      </c>
      <c r="Q39" s="104">
        <f t="shared" si="9"/>
        <v>0</v>
      </c>
      <c r="R39" s="105">
        <f t="shared" si="9"/>
        <v>0</v>
      </c>
      <c r="S39" s="105">
        <f t="shared" si="9"/>
        <v>0</v>
      </c>
      <c r="T39" s="106">
        <f t="shared" si="9"/>
        <v>11</v>
      </c>
      <c r="U39" s="107">
        <f t="shared" si="9"/>
        <v>0</v>
      </c>
      <c r="V39" s="107">
        <f t="shared" si="9"/>
        <v>0</v>
      </c>
      <c r="W39" s="70">
        <f t="shared" si="9"/>
        <v>0</v>
      </c>
      <c r="X39" s="71">
        <f t="shared" si="9"/>
        <v>2</v>
      </c>
      <c r="Y39" s="124">
        <f t="shared" si="9"/>
        <v>0</v>
      </c>
      <c r="Z39" s="125">
        <f t="shared" si="9"/>
        <v>1</v>
      </c>
      <c r="AA39" s="125">
        <f t="shared" si="9"/>
        <v>0</v>
      </c>
      <c r="AB39" s="125">
        <f t="shared" si="9"/>
        <v>0</v>
      </c>
      <c r="AC39" s="125">
        <f t="shared" si="9"/>
        <v>86144</v>
      </c>
      <c r="AD39" s="125">
        <f t="shared" si="9"/>
        <v>8614.4</v>
      </c>
      <c r="AE39" s="125">
        <f t="shared" si="9"/>
        <v>77529.6</v>
      </c>
      <c r="AF39" s="125"/>
      <c r="AG39" s="125"/>
      <c r="AH39" s="125"/>
      <c r="AI39" s="125"/>
      <c r="AJ39" s="125"/>
      <c r="AK39" s="125"/>
      <c r="AL39" s="125">
        <f>SUM(AL12:AL38)</f>
        <v>25843.2</v>
      </c>
      <c r="AM39" s="125">
        <f>SUM(AM12:AM38)</f>
        <v>25843.2</v>
      </c>
      <c r="AN39" s="125">
        <f>SUM(AN12:AN38)</f>
        <v>25843.2</v>
      </c>
      <c r="AO39" s="125">
        <f>SUM(AO12:AO38)</f>
        <v>5624</v>
      </c>
      <c r="AP39" s="125">
        <f>SUM(AP12:AP38)</f>
        <v>4650.9</v>
      </c>
    </row>
    <row r="41" ht="16.5" spans="5:21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6.5" spans="2:29">
      <c r="B42" s="39"/>
      <c r="C42" s="40" t="s">
        <v>62</v>
      </c>
      <c r="D42" s="40"/>
      <c r="E42" s="40">
        <v>204</v>
      </c>
      <c r="F42" s="40">
        <f>12*E42</f>
        <v>2448</v>
      </c>
      <c r="G42" s="40">
        <v>177</v>
      </c>
      <c r="H42" s="40">
        <f>G42*48</f>
        <v>8496</v>
      </c>
      <c r="I42" s="40">
        <v>204</v>
      </c>
      <c r="J42" s="40">
        <f>I42*12</f>
        <v>2448</v>
      </c>
      <c r="K42" s="40">
        <v>177</v>
      </c>
      <c r="L42" s="40">
        <f>K42*15</f>
        <v>2655</v>
      </c>
      <c r="M42" s="40">
        <v>116</v>
      </c>
      <c r="N42" s="40">
        <f>M42*6</f>
        <v>696</v>
      </c>
      <c r="O42" s="40">
        <v>272</v>
      </c>
      <c r="P42" s="40">
        <f>O42*4</f>
        <v>1088</v>
      </c>
      <c r="Q42" s="40">
        <v>1496</v>
      </c>
      <c r="R42" s="40">
        <v>272</v>
      </c>
      <c r="S42" s="40">
        <f>R42*4</f>
        <v>1088</v>
      </c>
      <c r="T42" s="40">
        <v>6800</v>
      </c>
      <c r="U42" s="40">
        <v>75</v>
      </c>
      <c r="V42" s="40">
        <f>U42*12</f>
        <v>900</v>
      </c>
      <c r="W42" s="40">
        <v>20</v>
      </c>
      <c r="X42" s="40">
        <v>68</v>
      </c>
      <c r="Y42" s="40">
        <f>X42*12</f>
        <v>816</v>
      </c>
      <c r="Z42" s="40">
        <v>1904</v>
      </c>
      <c r="AA42" s="40">
        <v>122</v>
      </c>
      <c r="AB42" s="40">
        <v>340</v>
      </c>
      <c r="AC42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B1:AO46"/>
  <sheetViews>
    <sheetView showGridLines="0" workbookViewId="0">
      <pane xSplit="3" ySplit="6" topLeftCell="D16" activePane="bottomRight" state="frozen"/>
      <selection/>
      <selection pane="topRight"/>
      <selection pane="bottomLeft"/>
      <selection pane="bottomRight" activeCell="D10" sqref="D10:D42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1" spans="3:4">
      <c r="C1" s="2" t="s">
        <v>14</v>
      </c>
      <c r="D1" s="2"/>
    </row>
    <row r="2" ht="16.5" spans="3:4">
      <c r="C2" s="3" t="s">
        <v>15</v>
      </c>
      <c r="D2" s="3"/>
    </row>
    <row r="3" ht="16.5" spans="3:40">
      <c r="C3" s="3" t="s">
        <v>16</v>
      </c>
      <c r="D3" s="3"/>
      <c r="AL3" s="136"/>
      <c r="AM3" s="137"/>
      <c r="AN3" s="138"/>
    </row>
    <row r="4" spans="3:14">
      <c r="C4" s="3"/>
      <c r="D4" s="185"/>
      <c r="K4" s="133" t="s">
        <v>200</v>
      </c>
      <c r="L4" s="133"/>
      <c r="M4" s="133"/>
      <c r="N4" s="133"/>
    </row>
    <row r="5" ht="18.95" customHeight="1" spans="3:7">
      <c r="C5" s="4" t="s">
        <v>17</v>
      </c>
      <c r="D5" s="5"/>
      <c r="E5" s="6"/>
      <c r="F5" s="6"/>
      <c r="G5" s="6"/>
    </row>
    <row r="6" ht="18.95" customHeight="1" spans="3:7">
      <c r="C6" s="7" t="s">
        <v>18</v>
      </c>
      <c r="D6" s="5" t="s">
        <v>229</v>
      </c>
      <c r="E6" s="6"/>
      <c r="F6" s="6"/>
      <c r="G6" s="6"/>
    </row>
    <row r="7" ht="18.95" customHeight="1" spans="3:7">
      <c r="C7" s="7" t="s">
        <v>19</v>
      </c>
      <c r="D7" s="5" t="s">
        <v>230</v>
      </c>
      <c r="E7" s="6"/>
      <c r="F7" s="6"/>
      <c r="G7" s="6"/>
    </row>
    <row r="8" ht="46.5" customHeight="1" spans="2:41">
      <c r="B8" s="8" t="s">
        <v>1</v>
      </c>
      <c r="C8" s="8" t="s">
        <v>21</v>
      </c>
      <c r="D8" s="8" t="s">
        <v>22</v>
      </c>
      <c r="E8" s="9" t="s">
        <v>23</v>
      </c>
      <c r="F8" s="10"/>
      <c r="G8" s="11" t="s">
        <v>24</v>
      </c>
      <c r="H8" s="12"/>
      <c r="I8" s="41" t="s">
        <v>25</v>
      </c>
      <c r="J8" s="42"/>
      <c r="K8" s="43" t="s">
        <v>26</v>
      </c>
      <c r="L8" s="44"/>
      <c r="M8" s="45" t="s">
        <v>27</v>
      </c>
      <c r="N8" s="46"/>
      <c r="O8" s="47" t="s">
        <v>28</v>
      </c>
      <c r="P8" s="48"/>
      <c r="Q8" s="73" t="s">
        <v>29</v>
      </c>
      <c r="R8" s="74" t="s">
        <v>30</v>
      </c>
      <c r="S8" s="75"/>
      <c r="T8" s="76" t="s">
        <v>31</v>
      </c>
      <c r="U8" s="77" t="s">
        <v>32</v>
      </c>
      <c r="V8" s="78"/>
      <c r="W8" s="79" t="s">
        <v>33</v>
      </c>
      <c r="X8" s="80" t="s">
        <v>34</v>
      </c>
      <c r="Y8" s="108"/>
      <c r="Z8" s="109" t="s">
        <v>35</v>
      </c>
      <c r="AA8" s="109" t="s">
        <v>36</v>
      </c>
      <c r="AB8" s="109" t="s">
        <v>37</v>
      </c>
      <c r="AC8" s="110" t="s">
        <v>38</v>
      </c>
      <c r="AD8" s="111" t="s">
        <v>66</v>
      </c>
      <c r="AE8" s="111" t="s">
        <v>40</v>
      </c>
      <c r="AF8" s="134" t="s">
        <v>41</v>
      </c>
      <c r="AG8" s="139"/>
      <c r="AH8" s="139"/>
      <c r="AI8" s="139"/>
      <c r="AJ8" s="139"/>
      <c r="AK8" s="139"/>
      <c r="AL8" s="139"/>
      <c r="AM8" s="139"/>
      <c r="AN8" s="140"/>
      <c r="AO8" s="142"/>
    </row>
    <row r="9" ht="32.45" customHeight="1" spans="2:41">
      <c r="B9" s="13"/>
      <c r="C9" s="13"/>
      <c r="D9" s="13"/>
      <c r="E9" s="14" t="s">
        <v>42</v>
      </c>
      <c r="F9" s="15" t="s">
        <v>43</v>
      </c>
      <c r="G9" s="16" t="s">
        <v>42</v>
      </c>
      <c r="H9" s="17" t="s">
        <v>44</v>
      </c>
      <c r="I9" s="49" t="s">
        <v>42</v>
      </c>
      <c r="J9" s="50" t="s">
        <v>44</v>
      </c>
      <c r="K9" s="51" t="s">
        <v>45</v>
      </c>
      <c r="L9" s="52" t="s">
        <v>46</v>
      </c>
      <c r="M9" s="53" t="s">
        <v>47</v>
      </c>
      <c r="N9" s="53" t="s">
        <v>48</v>
      </c>
      <c r="O9" s="54" t="s">
        <v>42</v>
      </c>
      <c r="P9" s="55" t="s">
        <v>49</v>
      </c>
      <c r="Q9" s="81" t="s">
        <v>42</v>
      </c>
      <c r="R9" s="82" t="s">
        <v>50</v>
      </c>
      <c r="S9" s="83" t="s">
        <v>51</v>
      </c>
      <c r="T9" s="84" t="s">
        <v>42</v>
      </c>
      <c r="U9" s="85" t="s">
        <v>52</v>
      </c>
      <c r="V9" s="85" t="s">
        <v>53</v>
      </c>
      <c r="W9" s="86" t="s">
        <v>42</v>
      </c>
      <c r="X9" s="87" t="s">
        <v>52</v>
      </c>
      <c r="Y9" s="87" t="s">
        <v>53</v>
      </c>
      <c r="Z9" s="113" t="s">
        <v>54</v>
      </c>
      <c r="AA9" s="113" t="s">
        <v>54</v>
      </c>
      <c r="AB9" s="113" t="s">
        <v>54</v>
      </c>
      <c r="AC9" s="114"/>
      <c r="AD9" s="115"/>
      <c r="AE9" s="116"/>
      <c r="AF9" s="114" t="s">
        <v>55</v>
      </c>
      <c r="AG9" s="114" t="s">
        <v>56</v>
      </c>
      <c r="AH9" s="114" t="s">
        <v>56</v>
      </c>
      <c r="AI9" s="114"/>
      <c r="AJ9" s="114"/>
      <c r="AK9" s="114"/>
      <c r="AL9" s="34" t="s">
        <v>55</v>
      </c>
      <c r="AM9" s="141" t="s">
        <v>56</v>
      </c>
      <c r="AN9" s="34" t="s">
        <v>57</v>
      </c>
      <c r="AO9" s="143" t="s">
        <v>58</v>
      </c>
    </row>
    <row r="10" spans="2:41">
      <c r="B10" s="18">
        <f>B9+1</f>
        <v>1</v>
      </c>
      <c r="C10" s="19" t="s">
        <v>231</v>
      </c>
      <c r="D10" s="301" t="s">
        <v>232</v>
      </c>
      <c r="E10" s="21"/>
      <c r="F10" s="22">
        <v>3</v>
      </c>
      <c r="G10" s="23"/>
      <c r="H10" s="24"/>
      <c r="I10" s="56"/>
      <c r="J10" s="57"/>
      <c r="K10" s="58"/>
      <c r="L10" s="59"/>
      <c r="M10" s="60"/>
      <c r="N10" s="61"/>
      <c r="O10" s="59"/>
      <c r="P10" s="62"/>
      <c r="Q10" s="88"/>
      <c r="R10" s="89"/>
      <c r="S10" s="90"/>
      <c r="T10" s="91">
        <v>1</v>
      </c>
      <c r="U10" s="92"/>
      <c r="V10" s="92">
        <v>1</v>
      </c>
      <c r="W10" s="93"/>
      <c r="X10" s="94"/>
      <c r="Y10" s="94"/>
      <c r="Z10" s="118"/>
      <c r="AA10" s="118"/>
      <c r="AB10" s="118"/>
      <c r="AC10" s="119">
        <f>(E10*E46)+(F10*F46)+(G10*G46)+(H10*H46)+(I10*I46)+(J10*J46)+(K10*K46)+(L10*L46)+(M10*M46)+(N10*N46)+(O10*O46)+(P10*P46)+(Q10*Q46)+(R10*R46)+(S10*S46)+(T10*T46)+(U10*U46)+(V10*V46)+(W10*W46)+(X10*X46)+(Y10*Y46)+(Z10*Z46)+(AA10*AA46)+(AB10*AB46)</f>
        <v>15044</v>
      </c>
      <c r="AD10" s="120">
        <f>10%*AC10</f>
        <v>1504.4</v>
      </c>
      <c r="AE10" s="121">
        <f>AC10-AD10</f>
        <v>13539.6</v>
      </c>
      <c r="AF10" s="121"/>
      <c r="AG10" s="121"/>
      <c r="AH10" s="121"/>
      <c r="AI10" s="121"/>
      <c r="AJ10" s="121"/>
      <c r="AK10" s="121"/>
      <c r="AL10" s="121">
        <f t="shared" ref="AL10:AL37" si="0">AE10/3</f>
        <v>4513.2</v>
      </c>
      <c r="AM10" s="120">
        <f>AL10</f>
        <v>4513.2</v>
      </c>
      <c r="AN10" s="121">
        <f>AM10</f>
        <v>4513.2</v>
      </c>
      <c r="AO10" s="145">
        <f t="shared" ref="AO10:AO33" si="1">AD10+AF10+AG10+AH10+AI10+AJ10+AK10</f>
        <v>1504.4</v>
      </c>
    </row>
    <row r="11" spans="2:41">
      <c r="B11" s="25">
        <f t="shared" ref="B11:B37" si="2">B10+1</f>
        <v>2</v>
      </c>
      <c r="C11" s="26" t="s">
        <v>233</v>
      </c>
      <c r="D11" s="302" t="s">
        <v>89</v>
      </c>
      <c r="E11" s="28"/>
      <c r="F11" s="29"/>
      <c r="G11" s="30"/>
      <c r="H11" s="31"/>
      <c r="I11" s="63"/>
      <c r="J11" s="64"/>
      <c r="K11" s="65"/>
      <c r="L11" s="66"/>
      <c r="M11" s="67"/>
      <c r="N11" s="68"/>
      <c r="O11" s="66"/>
      <c r="P11" s="69"/>
      <c r="Q11" s="95"/>
      <c r="R11" s="96"/>
      <c r="S11" s="97"/>
      <c r="T11" s="98">
        <v>1</v>
      </c>
      <c r="U11" s="99"/>
      <c r="V11" s="99"/>
      <c r="W11" s="100"/>
      <c r="X11" s="101"/>
      <c r="Y11" s="101"/>
      <c r="Z11" s="118"/>
      <c r="AA11" s="118"/>
      <c r="AB11" s="118"/>
      <c r="AC11" s="119">
        <f>(E11*E46)+(F11*F46)+(G11*G46)+(H11*H46)+(I11*I46)+(J11*J46)+(K11*K46)+(L11*L46)+(M11*M46)+(N11*N46)+(O11*O46)+(P11*P46)+(Q11*Q46)+(R11*R46)+(S11*S46)+(T11*T46)+(U11*U46)+(V11*V46)+(W11*W46)+(X11*X46)+(Y11*Y46)+(Z11*Z46)+(AA11*AA46)+(AB11*AB46)</f>
        <v>6800</v>
      </c>
      <c r="AD11" s="120">
        <f t="shared" ref="AD11:AD38" si="3">10%*AC11</f>
        <v>680</v>
      </c>
      <c r="AE11" s="121">
        <f t="shared" ref="AE11:AE32" si="4">AC11-AD11</f>
        <v>6120</v>
      </c>
      <c r="AF11" s="121"/>
      <c r="AG11" s="121"/>
      <c r="AH11" s="121"/>
      <c r="AI11" s="121"/>
      <c r="AJ11" s="121"/>
      <c r="AK11" s="121"/>
      <c r="AL11" s="121">
        <f t="shared" si="0"/>
        <v>2040</v>
      </c>
      <c r="AM11" s="120">
        <f t="shared" ref="AM11:AN26" si="5">AL11</f>
        <v>2040</v>
      </c>
      <c r="AN11" s="121">
        <f t="shared" si="5"/>
        <v>2040</v>
      </c>
      <c r="AO11" s="145">
        <f t="shared" si="1"/>
        <v>680</v>
      </c>
    </row>
    <row r="12" spans="2:41">
      <c r="B12" s="25">
        <f t="shared" si="2"/>
        <v>3</v>
      </c>
      <c r="C12" s="26" t="s">
        <v>234</v>
      </c>
      <c r="D12" s="302" t="s">
        <v>235</v>
      </c>
      <c r="E12" s="28"/>
      <c r="F12" s="29"/>
      <c r="G12" s="30"/>
      <c r="H12" s="31"/>
      <c r="I12" s="63"/>
      <c r="J12" s="64"/>
      <c r="K12" s="65"/>
      <c r="L12" s="66"/>
      <c r="M12" s="67"/>
      <c r="N12" s="68"/>
      <c r="O12" s="66"/>
      <c r="P12" s="69"/>
      <c r="Q12" s="95"/>
      <c r="R12" s="96"/>
      <c r="S12" s="97"/>
      <c r="T12" s="98">
        <v>1</v>
      </c>
      <c r="U12" s="99"/>
      <c r="V12" s="99"/>
      <c r="W12" s="100"/>
      <c r="X12" s="101"/>
      <c r="Y12" s="101"/>
      <c r="Z12" s="118"/>
      <c r="AA12" s="118">
        <v>1</v>
      </c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6922</v>
      </c>
      <c r="AD12" s="120">
        <f t="shared" si="3"/>
        <v>692.2</v>
      </c>
      <c r="AE12" s="121">
        <f t="shared" si="4"/>
        <v>6229.8</v>
      </c>
      <c r="AF12" s="121"/>
      <c r="AG12" s="121"/>
      <c r="AH12" s="121"/>
      <c r="AI12" s="121"/>
      <c r="AJ12" s="121"/>
      <c r="AK12" s="121"/>
      <c r="AL12" s="121">
        <f t="shared" si="0"/>
        <v>2076.6</v>
      </c>
      <c r="AM12" s="120">
        <f t="shared" si="5"/>
        <v>2076.6</v>
      </c>
      <c r="AN12" s="121">
        <f t="shared" si="5"/>
        <v>2076.6</v>
      </c>
      <c r="AO12" s="145">
        <f t="shared" si="1"/>
        <v>692.2</v>
      </c>
    </row>
    <row r="13" spans="2:41">
      <c r="B13" s="25">
        <f t="shared" si="2"/>
        <v>4</v>
      </c>
      <c r="C13" s="26" t="s">
        <v>236</v>
      </c>
      <c r="D13" s="27"/>
      <c r="E13" s="28"/>
      <c r="F13" s="29"/>
      <c r="G13" s="30"/>
      <c r="H13" s="31">
        <v>1</v>
      </c>
      <c r="I13" s="63">
        <v>1</v>
      </c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8700</v>
      </c>
      <c r="AD13" s="120">
        <f t="shared" si="3"/>
        <v>870</v>
      </c>
      <c r="AE13" s="121">
        <f t="shared" si="4"/>
        <v>7830</v>
      </c>
      <c r="AF13" s="121"/>
      <c r="AG13" s="121"/>
      <c r="AH13" s="121"/>
      <c r="AI13" s="121"/>
      <c r="AJ13" s="121"/>
      <c r="AK13" s="121"/>
      <c r="AL13" s="121">
        <f t="shared" si="0"/>
        <v>2610</v>
      </c>
      <c r="AM13" s="120">
        <f t="shared" si="5"/>
        <v>2610</v>
      </c>
      <c r="AN13" s="121">
        <f t="shared" si="5"/>
        <v>2610</v>
      </c>
      <c r="AO13" s="145">
        <f t="shared" si="1"/>
        <v>870</v>
      </c>
    </row>
    <row r="14" spans="2:41">
      <c r="B14" s="25">
        <f t="shared" si="2"/>
        <v>5</v>
      </c>
      <c r="C14" s="26" t="s">
        <v>237</v>
      </c>
      <c r="D14" s="302" t="s">
        <v>69</v>
      </c>
      <c r="E14" s="28"/>
      <c r="F14" s="29">
        <v>2</v>
      </c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>
        <v>1</v>
      </c>
      <c r="R14" s="96"/>
      <c r="S14" s="97"/>
      <c r="T14" s="98">
        <v>1</v>
      </c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13192</v>
      </c>
      <c r="AD14" s="120">
        <f t="shared" si="3"/>
        <v>1319.2</v>
      </c>
      <c r="AE14" s="121">
        <f t="shared" si="4"/>
        <v>11872.8</v>
      </c>
      <c r="AF14" s="121"/>
      <c r="AG14" s="121"/>
      <c r="AH14" s="121"/>
      <c r="AI14" s="121"/>
      <c r="AJ14" s="121"/>
      <c r="AK14" s="121"/>
      <c r="AL14" s="121">
        <f t="shared" si="0"/>
        <v>3957.6</v>
      </c>
      <c r="AM14" s="120">
        <f t="shared" si="5"/>
        <v>3957.6</v>
      </c>
      <c r="AN14" s="121">
        <f t="shared" si="5"/>
        <v>3957.6</v>
      </c>
      <c r="AO14" s="145">
        <f t="shared" si="1"/>
        <v>1319.2</v>
      </c>
    </row>
    <row r="15" spans="2:41">
      <c r="B15" s="25">
        <f t="shared" si="2"/>
        <v>6</v>
      </c>
      <c r="C15" s="26" t="s">
        <v>238</v>
      </c>
      <c r="D15" s="302" t="s">
        <v>239</v>
      </c>
      <c r="E15" s="28"/>
      <c r="F15" s="29">
        <v>1</v>
      </c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>
        <v>1</v>
      </c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(E15*E46)+(F15*F46)+(G15*G46)+(H15*H46)+(I15*I46)+(J15*J50)+(K15*K46)+(L15*L46)+(M15*M46)+(N15*N46)+(O15*O46)+(P15*P46)+(Q15*Q46)+(R15*R46)+(S15*S46)+(T15*T46)+(U15*U46)+(V15*V46)+(W15*W46)+(X15*X46)+(Y15*Y46)+(Z15*Z46)+(AA15*AA46)+(AB15*AB46)</f>
        <v>3944</v>
      </c>
      <c r="AD15" s="120">
        <f t="shared" si="3"/>
        <v>394.4</v>
      </c>
      <c r="AE15" s="121">
        <f t="shared" si="4"/>
        <v>3549.6</v>
      </c>
      <c r="AF15" s="121"/>
      <c r="AG15" s="121"/>
      <c r="AH15" s="121"/>
      <c r="AI15" s="121"/>
      <c r="AJ15" s="121"/>
      <c r="AK15" s="121"/>
      <c r="AL15" s="121">
        <f t="shared" si="0"/>
        <v>1183.2</v>
      </c>
      <c r="AM15" s="120">
        <f t="shared" si="5"/>
        <v>1183.2</v>
      </c>
      <c r="AN15" s="121">
        <f t="shared" si="5"/>
        <v>1183.2</v>
      </c>
      <c r="AO15" s="145">
        <f t="shared" si="1"/>
        <v>394.4</v>
      </c>
    </row>
    <row r="16" spans="2:41">
      <c r="B16" s="25">
        <f t="shared" si="2"/>
        <v>7</v>
      </c>
      <c r="C16" s="26" t="s">
        <v>240</v>
      </c>
      <c r="D16" s="302" t="s">
        <v>241</v>
      </c>
      <c r="E16" s="28"/>
      <c r="F16" s="29">
        <v>2</v>
      </c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4896</v>
      </c>
      <c r="AD16" s="120">
        <f t="shared" si="3"/>
        <v>489.6</v>
      </c>
      <c r="AE16" s="121">
        <f t="shared" si="4"/>
        <v>4406.4</v>
      </c>
      <c r="AF16" s="121"/>
      <c r="AG16" s="121"/>
      <c r="AH16" s="121"/>
      <c r="AI16" s="121"/>
      <c r="AJ16" s="121"/>
      <c r="AK16" s="121"/>
      <c r="AL16" s="121">
        <f t="shared" si="0"/>
        <v>1468.8</v>
      </c>
      <c r="AM16" s="120">
        <f>AL16</f>
        <v>1468.8</v>
      </c>
      <c r="AN16" s="121">
        <f t="shared" si="5"/>
        <v>1468.8</v>
      </c>
      <c r="AO16" s="145">
        <f t="shared" si="1"/>
        <v>489.6</v>
      </c>
    </row>
    <row r="17" spans="2:41">
      <c r="B17" s="25">
        <f t="shared" si="2"/>
        <v>8</v>
      </c>
      <c r="C17" s="26" t="s">
        <v>242</v>
      </c>
      <c r="D17" s="302" t="s">
        <v>243</v>
      </c>
      <c r="E17" s="28"/>
      <c r="F17" s="29">
        <v>1</v>
      </c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>
        <v>1</v>
      </c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(E17*E46)+(F17*F46)+(G17*G46)+(H17*H46)+(I17*I46)+(J17*J46)+(K17*K46)+(L17*L46)+(M17*M46)+(N17*N46)+(O17*O46)+(P17*P46)+(Q17*Q46)+(R17*R46)+(S17*S46)+(T17*T46)+(U17*U46)+(V17*V46)+(W17*W46)+(X17*X46)+(Y17*Y46)+(Z17*Z46)+(AA17*AA46)+(AB17*AB46)</f>
        <v>9248</v>
      </c>
      <c r="AD17" s="120">
        <f t="shared" si="3"/>
        <v>924.8</v>
      </c>
      <c r="AE17" s="121">
        <f t="shared" si="4"/>
        <v>8323.2</v>
      </c>
      <c r="AF17" s="121"/>
      <c r="AG17" s="121"/>
      <c r="AH17" s="121"/>
      <c r="AI17" s="121"/>
      <c r="AJ17" s="121"/>
      <c r="AK17" s="121"/>
      <c r="AL17" s="121">
        <f t="shared" si="0"/>
        <v>2774.4</v>
      </c>
      <c r="AM17" s="120">
        <f t="shared" si="5"/>
        <v>2774.4</v>
      </c>
      <c r="AN17" s="121">
        <f t="shared" si="5"/>
        <v>2774.4</v>
      </c>
      <c r="AO17" s="145">
        <f t="shared" si="1"/>
        <v>924.8</v>
      </c>
    </row>
    <row r="18" spans="2:41">
      <c r="B18" s="25">
        <f t="shared" si="2"/>
        <v>9</v>
      </c>
      <c r="C18" s="26" t="s">
        <v>244</v>
      </c>
      <c r="D18" s="302" t="s">
        <v>245</v>
      </c>
      <c r="E18" s="28">
        <v>6</v>
      </c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>
        <v>1</v>
      </c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1848</v>
      </c>
      <c r="AD18" s="120">
        <f t="shared" si="3"/>
        <v>184.8</v>
      </c>
      <c r="AE18" s="121">
        <f t="shared" si="4"/>
        <v>1663.2</v>
      </c>
      <c r="AF18" s="121"/>
      <c r="AG18" s="121"/>
      <c r="AH18" s="121"/>
      <c r="AI18" s="121"/>
      <c r="AJ18" s="121"/>
      <c r="AK18" s="121"/>
      <c r="AL18" s="121">
        <f t="shared" si="0"/>
        <v>554.4</v>
      </c>
      <c r="AM18" s="120">
        <f t="shared" si="5"/>
        <v>554.4</v>
      </c>
      <c r="AN18" s="121">
        <f t="shared" si="5"/>
        <v>554.4</v>
      </c>
      <c r="AO18" s="145">
        <f t="shared" si="1"/>
        <v>184.8</v>
      </c>
    </row>
    <row r="19" spans="2:41">
      <c r="B19" s="25">
        <f t="shared" si="2"/>
        <v>10</v>
      </c>
      <c r="C19" s="26" t="s">
        <v>246</v>
      </c>
      <c r="D19" s="302" t="s">
        <v>247</v>
      </c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>
        <v>1</v>
      </c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6800</v>
      </c>
      <c r="AD19" s="120">
        <f t="shared" si="3"/>
        <v>680</v>
      </c>
      <c r="AE19" s="121">
        <f t="shared" si="4"/>
        <v>6120</v>
      </c>
      <c r="AF19" s="121"/>
      <c r="AG19" s="121"/>
      <c r="AH19" s="121"/>
      <c r="AI19" s="121"/>
      <c r="AJ19" s="121"/>
      <c r="AK19" s="121"/>
      <c r="AL19" s="121">
        <f t="shared" si="0"/>
        <v>2040</v>
      </c>
      <c r="AM19" s="120">
        <f t="shared" si="5"/>
        <v>2040</v>
      </c>
      <c r="AN19" s="121">
        <f t="shared" si="5"/>
        <v>2040</v>
      </c>
      <c r="AO19" s="145">
        <f t="shared" si="1"/>
        <v>680</v>
      </c>
    </row>
    <row r="20" spans="2:41">
      <c r="B20" s="25">
        <f t="shared" si="2"/>
        <v>11</v>
      </c>
      <c r="C20" s="26" t="s">
        <v>248</v>
      </c>
      <c r="D20" s="302" t="s">
        <v>249</v>
      </c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>
        <v>1</v>
      </c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6800</v>
      </c>
      <c r="AD20" s="120">
        <f t="shared" si="3"/>
        <v>680</v>
      </c>
      <c r="AE20" s="121">
        <f t="shared" si="4"/>
        <v>6120</v>
      </c>
      <c r="AF20" s="121"/>
      <c r="AG20" s="121"/>
      <c r="AH20" s="121"/>
      <c r="AI20" s="121"/>
      <c r="AJ20" s="121"/>
      <c r="AK20" s="121"/>
      <c r="AL20" s="121">
        <f t="shared" si="0"/>
        <v>2040</v>
      </c>
      <c r="AM20" s="120">
        <f t="shared" si="5"/>
        <v>2040</v>
      </c>
      <c r="AN20" s="121">
        <f t="shared" si="5"/>
        <v>2040</v>
      </c>
      <c r="AO20" s="145">
        <f t="shared" si="1"/>
        <v>680</v>
      </c>
    </row>
    <row r="21" spans="2:41">
      <c r="B21" s="25">
        <f t="shared" si="2"/>
        <v>12</v>
      </c>
      <c r="C21" s="32" t="s">
        <v>250</v>
      </c>
      <c r="D21" s="302" t="s">
        <v>251</v>
      </c>
      <c r="E21" s="28">
        <v>6</v>
      </c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>
        <v>1</v>
      </c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1848</v>
      </c>
      <c r="AD21" s="120">
        <f t="shared" si="3"/>
        <v>184.8</v>
      </c>
      <c r="AE21" s="121">
        <f t="shared" si="4"/>
        <v>1663.2</v>
      </c>
      <c r="AF21" s="121"/>
      <c r="AG21" s="121"/>
      <c r="AH21" s="121"/>
      <c r="AI21" s="121"/>
      <c r="AJ21" s="121"/>
      <c r="AK21" s="121"/>
      <c r="AL21" s="121">
        <f t="shared" si="0"/>
        <v>554.4</v>
      </c>
      <c r="AM21" s="120">
        <f t="shared" si="5"/>
        <v>554.4</v>
      </c>
      <c r="AN21" s="121">
        <f t="shared" si="5"/>
        <v>554.4</v>
      </c>
      <c r="AO21" s="145">
        <f t="shared" si="1"/>
        <v>184.8</v>
      </c>
    </row>
    <row r="22" spans="2:41">
      <c r="B22" s="25">
        <f t="shared" si="2"/>
        <v>13</v>
      </c>
      <c r="C22" s="32" t="s">
        <v>252</v>
      </c>
      <c r="D22" s="302" t="s">
        <v>253</v>
      </c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>
        <v>1</v>
      </c>
      <c r="Q22" s="95">
        <v>1</v>
      </c>
      <c r="R22" s="96"/>
      <c r="S22" s="97"/>
      <c r="T22" s="98"/>
      <c r="U22" s="99"/>
      <c r="V22" s="99">
        <v>1</v>
      </c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3484</v>
      </c>
      <c r="AD22" s="120">
        <f t="shared" si="3"/>
        <v>348.4</v>
      </c>
      <c r="AE22" s="121">
        <f t="shared" si="4"/>
        <v>3135.6</v>
      </c>
      <c r="AF22" s="121"/>
      <c r="AG22" s="121"/>
      <c r="AH22" s="121"/>
      <c r="AI22" s="121"/>
      <c r="AJ22" s="121"/>
      <c r="AK22" s="121"/>
      <c r="AL22" s="121">
        <f t="shared" si="0"/>
        <v>1045.2</v>
      </c>
      <c r="AM22" s="120">
        <f t="shared" si="5"/>
        <v>1045.2</v>
      </c>
      <c r="AN22" s="121">
        <f t="shared" si="5"/>
        <v>1045.2</v>
      </c>
      <c r="AO22" s="145">
        <f t="shared" si="1"/>
        <v>348.4</v>
      </c>
    </row>
    <row r="23" spans="2:41">
      <c r="B23" s="25">
        <f t="shared" si="2"/>
        <v>14</v>
      </c>
      <c r="C23" s="32" t="s">
        <v>254</v>
      </c>
      <c r="D23" s="302" t="s">
        <v>255</v>
      </c>
      <c r="E23" s="28"/>
      <c r="F23" s="29">
        <v>1</v>
      </c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>
        <v>1</v>
      </c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(E23*E46)+(F23*F46)+(G23*G46)+(H23*H46)+(I23*I46)+(J23*J46)+(K23*J46)+(L23*L46)+(M23*M46)+(N23*N46)+(O23*O46)+(P23*P46)+(Q23*Q46)+(R23*R46)+(S23*S46)+(T23*T46)+(U23*U46)+(V23*V46)+(W23*W46)+(X23*X46)+(Y23*Y46)+(Z23*Z46)+(AA23*AA46)+(AB23*AB46)</f>
        <v>9248</v>
      </c>
      <c r="AD23" s="120">
        <f t="shared" si="3"/>
        <v>924.8</v>
      </c>
      <c r="AE23" s="121">
        <f t="shared" si="4"/>
        <v>8323.2</v>
      </c>
      <c r="AF23" s="121"/>
      <c r="AG23" s="121"/>
      <c r="AH23" s="121"/>
      <c r="AI23" s="121"/>
      <c r="AJ23" s="121"/>
      <c r="AK23" s="121"/>
      <c r="AL23" s="121">
        <f t="shared" si="0"/>
        <v>2774.4</v>
      </c>
      <c r="AM23" s="120">
        <f t="shared" si="5"/>
        <v>2774.4</v>
      </c>
      <c r="AN23" s="121">
        <f t="shared" si="5"/>
        <v>2774.4</v>
      </c>
      <c r="AO23" s="145">
        <f t="shared" si="1"/>
        <v>924.8</v>
      </c>
    </row>
    <row r="24" spans="2:41">
      <c r="B24" s="25">
        <f t="shared" si="2"/>
        <v>15</v>
      </c>
      <c r="C24" s="32" t="s">
        <v>256</v>
      </c>
      <c r="D24" s="302" t="s">
        <v>257</v>
      </c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>
        <v>1</v>
      </c>
      <c r="U24" s="99"/>
      <c r="V24" s="99"/>
      <c r="W24" s="100"/>
      <c r="X24" s="101"/>
      <c r="Y24" s="101">
        <v>1</v>
      </c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7424</v>
      </c>
      <c r="AD24" s="120">
        <f t="shared" si="3"/>
        <v>742.4</v>
      </c>
      <c r="AE24" s="121">
        <f t="shared" si="4"/>
        <v>6681.6</v>
      </c>
      <c r="AF24" s="121"/>
      <c r="AG24" s="121"/>
      <c r="AH24" s="121"/>
      <c r="AI24" s="121"/>
      <c r="AJ24" s="121"/>
      <c r="AK24" s="121"/>
      <c r="AL24" s="121">
        <f t="shared" si="0"/>
        <v>2227.2</v>
      </c>
      <c r="AM24" s="120">
        <f t="shared" si="5"/>
        <v>2227.2</v>
      </c>
      <c r="AN24" s="121">
        <f t="shared" si="5"/>
        <v>2227.2</v>
      </c>
      <c r="AO24" s="145">
        <f t="shared" si="1"/>
        <v>742.4</v>
      </c>
    </row>
    <row r="25" spans="2:41">
      <c r="B25" s="25">
        <f t="shared" si="2"/>
        <v>16</v>
      </c>
      <c r="C25" s="32" t="s">
        <v>258</v>
      </c>
      <c r="D25" s="27" t="s">
        <v>259</v>
      </c>
      <c r="E25" s="28"/>
      <c r="F25" s="29"/>
      <c r="G25" s="30"/>
      <c r="H25" s="31">
        <v>1</v>
      </c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>
        <v>1</v>
      </c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(E25*E46)+(F25*F46)+(G25*G46)+(H25*H46)+(I25*I46)+(J25*J46)+(K25*K46)+(L25*L46)+(M25*M46)+(N25*N46)+(O25*O46)+(P25*P46)+(Q25*Q46)+(R25*R46)+(S25*S46)+(T25*T46)+(U25*U46)+(V25*V46)+(W25*W46)+(X25*X46)+(Y25*Y46)+(Z25*Z46)+(AA25*AA46)+(AB25*AB46)</f>
        <v>15296</v>
      </c>
      <c r="AD25" s="120">
        <f t="shared" si="3"/>
        <v>1529.6</v>
      </c>
      <c r="AE25" s="121">
        <f t="shared" si="4"/>
        <v>13766.4</v>
      </c>
      <c r="AF25" s="121"/>
      <c r="AG25" s="121"/>
      <c r="AH25" s="121"/>
      <c r="AI25" s="121"/>
      <c r="AJ25" s="121"/>
      <c r="AK25" s="121"/>
      <c r="AL25" s="121">
        <f t="shared" si="0"/>
        <v>4588.8</v>
      </c>
      <c r="AM25" s="120">
        <f t="shared" si="5"/>
        <v>4588.8</v>
      </c>
      <c r="AN25" s="121">
        <f t="shared" si="5"/>
        <v>4588.8</v>
      </c>
      <c r="AO25" s="145">
        <f t="shared" si="1"/>
        <v>1529.6</v>
      </c>
    </row>
    <row r="26" spans="2:41">
      <c r="B26" s="25">
        <f t="shared" si="2"/>
        <v>17</v>
      </c>
      <c r="C26" s="32" t="s">
        <v>260</v>
      </c>
      <c r="D26" s="27" t="s">
        <v>261</v>
      </c>
      <c r="E26" s="28">
        <v>4</v>
      </c>
      <c r="F26" s="29"/>
      <c r="G26" s="30"/>
      <c r="H26" s="31"/>
      <c r="I26" s="63"/>
      <c r="J26" s="64"/>
      <c r="K26" s="65"/>
      <c r="L26" s="66"/>
      <c r="M26" s="67"/>
      <c r="N26" s="68"/>
      <c r="O26" s="66">
        <v>2</v>
      </c>
      <c r="P26" s="69"/>
      <c r="Q26" s="95"/>
      <c r="R26" s="96"/>
      <c r="S26" s="97"/>
      <c r="T26" s="98"/>
      <c r="U26" s="99">
        <v>4</v>
      </c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(E26*E46)+(F26*F46)+(G26*G46)+(H26*H46)+(I26*I46)+(J26*J46)+(K26*J46)+(L26*L46)+(M26*M46)+(N26*N46)+(O26*O46)+(P26*P46)+(Q26*Q46)+(R26*R46)+(S26*S46)+(T26*T46)+(U26*U46)+(V26*V46)+(W26*W46)+(X26*X46)+(Y26*Y46)+(Z26*Z46)+(AA26*AA46)+(AB26*AB46)</f>
        <v>1660</v>
      </c>
      <c r="AD26" s="120">
        <f t="shared" si="3"/>
        <v>166</v>
      </c>
      <c r="AE26" s="121">
        <f t="shared" si="4"/>
        <v>1494</v>
      </c>
      <c r="AF26" s="121"/>
      <c r="AG26" s="121"/>
      <c r="AH26" s="121"/>
      <c r="AI26" s="121"/>
      <c r="AJ26" s="121"/>
      <c r="AK26" s="121"/>
      <c r="AL26" s="121">
        <f t="shared" si="0"/>
        <v>498</v>
      </c>
      <c r="AM26" s="120">
        <f t="shared" si="5"/>
        <v>498</v>
      </c>
      <c r="AN26" s="121">
        <f t="shared" si="5"/>
        <v>498</v>
      </c>
      <c r="AO26" s="145">
        <f t="shared" si="1"/>
        <v>166</v>
      </c>
    </row>
    <row r="27" spans="2:41">
      <c r="B27" s="25">
        <f t="shared" si="2"/>
        <v>18</v>
      </c>
      <c r="C27" s="32" t="s">
        <v>262</v>
      </c>
      <c r="D27" s="27" t="s">
        <v>263</v>
      </c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>
        <v>1</v>
      </c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6800</v>
      </c>
      <c r="AD27" s="120">
        <f t="shared" si="3"/>
        <v>680</v>
      </c>
      <c r="AE27" s="121">
        <f t="shared" si="4"/>
        <v>6120</v>
      </c>
      <c r="AF27" s="121"/>
      <c r="AG27" s="121"/>
      <c r="AH27" s="121"/>
      <c r="AI27" s="121"/>
      <c r="AJ27" s="121"/>
      <c r="AK27" s="121"/>
      <c r="AL27" s="121">
        <f t="shared" si="0"/>
        <v>2040</v>
      </c>
      <c r="AM27" s="120">
        <f t="shared" ref="AM27:AN37" si="6">AL27</f>
        <v>2040</v>
      </c>
      <c r="AN27" s="121">
        <f t="shared" si="6"/>
        <v>2040</v>
      </c>
      <c r="AO27" s="145">
        <f t="shared" si="1"/>
        <v>680</v>
      </c>
    </row>
    <row r="28" spans="2:41">
      <c r="B28" s="25">
        <f t="shared" si="2"/>
        <v>19</v>
      </c>
      <c r="C28" s="32" t="s">
        <v>264</v>
      </c>
      <c r="D28" s="27" t="s">
        <v>77</v>
      </c>
      <c r="E28" s="28">
        <v>4</v>
      </c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>
        <v>1</v>
      </c>
      <c r="U28" s="99">
        <v>4</v>
      </c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(E28*E46)+(F28*F46)+(G28*G46)+(H28*H46)+(I28*I46)+(J28*J46)+(K28*K46)+(L28*L46)+(M28*M46)+(N28*N46)+(O28*O46)+(P28*P46)+(Q28*Q46)+(R28*R46)+(S28*S46)+(T28*T46)+(U28*U46)+(V28*V46)+(W28*W46)+(X28*X46)+(Y28*Y46)+(Z28*Z46)+(AA28*AA46)+(AB28*AB46)</f>
        <v>7916</v>
      </c>
      <c r="AD28" s="120">
        <f t="shared" si="3"/>
        <v>791.6</v>
      </c>
      <c r="AE28" s="121">
        <f t="shared" si="4"/>
        <v>7124.4</v>
      </c>
      <c r="AF28" s="121"/>
      <c r="AG28" s="121"/>
      <c r="AH28" s="121"/>
      <c r="AI28" s="121"/>
      <c r="AJ28" s="121"/>
      <c r="AK28" s="121"/>
      <c r="AL28" s="121">
        <f t="shared" si="0"/>
        <v>2374.8</v>
      </c>
      <c r="AM28" s="120">
        <f t="shared" si="6"/>
        <v>2374.8</v>
      </c>
      <c r="AN28" s="121">
        <f t="shared" si="6"/>
        <v>2374.8</v>
      </c>
      <c r="AO28" s="145">
        <f t="shared" si="1"/>
        <v>791.6</v>
      </c>
    </row>
    <row r="29" spans="2:41">
      <c r="B29" s="25">
        <f t="shared" si="2"/>
        <v>20</v>
      </c>
      <c r="C29" s="32" t="s">
        <v>265</v>
      </c>
      <c r="D29" s="27" t="s">
        <v>89</v>
      </c>
      <c r="E29" s="28">
        <v>4</v>
      </c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>
        <v>1</v>
      </c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(E29*E46)+(F29*F46)+(G29*G46)+(H29*H46)+(I29*I46)+(J29*J46)+(K29*J46)+(L29*L46)+(M29*M46)+(N29*N46)+(O29*O46)+(P29*P46)+(Q29*Q46)+(R29*R46)+(S29*S46)+(T29*T46)+(U29*U46)+(V29*V46)+(W29*W46)+(X29*X46)+(Y29*Y46)+(Z29*Z46)+(AA29*AA46)+(AB29*AB46)</f>
        <v>7616</v>
      </c>
      <c r="AD29" s="120">
        <f t="shared" si="3"/>
        <v>761.6</v>
      </c>
      <c r="AE29" s="121">
        <f t="shared" si="4"/>
        <v>6854.4</v>
      </c>
      <c r="AF29" s="121"/>
      <c r="AG29" s="121"/>
      <c r="AH29" s="121"/>
      <c r="AI29" s="121"/>
      <c r="AJ29" s="121"/>
      <c r="AK29" s="121"/>
      <c r="AL29" s="121">
        <f t="shared" si="0"/>
        <v>2284.8</v>
      </c>
      <c r="AM29" s="120">
        <f t="shared" si="6"/>
        <v>2284.8</v>
      </c>
      <c r="AN29" s="121">
        <f t="shared" si="6"/>
        <v>2284.8</v>
      </c>
      <c r="AO29" s="145">
        <f t="shared" si="1"/>
        <v>761.6</v>
      </c>
    </row>
    <row r="30" spans="2:41">
      <c r="B30" s="25">
        <f t="shared" si="2"/>
        <v>21</v>
      </c>
      <c r="C30" s="32" t="s">
        <v>266</v>
      </c>
      <c r="D30" s="27" t="s">
        <v>267</v>
      </c>
      <c r="E30" s="28">
        <v>6</v>
      </c>
      <c r="F30" s="29"/>
      <c r="G30" s="30"/>
      <c r="H30" s="31"/>
      <c r="I30" s="63"/>
      <c r="J30" s="64"/>
      <c r="K30" s="65">
        <v>6</v>
      </c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2286</v>
      </c>
      <c r="AD30" s="120">
        <f t="shared" si="3"/>
        <v>228.6</v>
      </c>
      <c r="AE30" s="121">
        <f t="shared" si="4"/>
        <v>2057.4</v>
      </c>
      <c r="AF30" s="121"/>
      <c r="AG30" s="121"/>
      <c r="AH30" s="121"/>
      <c r="AI30" s="121"/>
      <c r="AJ30" s="121"/>
      <c r="AK30" s="121"/>
      <c r="AL30" s="121">
        <f t="shared" si="0"/>
        <v>685.8</v>
      </c>
      <c r="AM30" s="120">
        <f t="shared" si="6"/>
        <v>685.8</v>
      </c>
      <c r="AN30" s="121">
        <f t="shared" si="6"/>
        <v>685.8</v>
      </c>
      <c r="AO30" s="145">
        <f t="shared" si="1"/>
        <v>228.6</v>
      </c>
    </row>
    <row r="31" spans="2:41">
      <c r="B31" s="25">
        <f t="shared" si="2"/>
        <v>22</v>
      </c>
      <c r="C31" s="32" t="s">
        <v>268</v>
      </c>
      <c r="D31" s="27" t="s">
        <v>269</v>
      </c>
      <c r="E31" s="28"/>
      <c r="F31" s="29">
        <v>1</v>
      </c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>
        <v>1</v>
      </c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(E31*E46)+(F31*F46)+(G31*G46)+(H31*H46)+(I31*I46)+(J31*J46)+(K31*K46)+(L31*L46)+(M31*M46)+(N31*N46)+(O31*O46)+(P31*P46)+(Q31*Q46)+(R31*R46)+(S31*S46)+(T31*T46)+(U31*U46)+(V31*V46)+(W31*W46)+(X31*X46)+(Y31*Y46)+(Z31*Z46)+(AA31*AA46)+(AB31*AB46)</f>
        <v>9248</v>
      </c>
      <c r="AD31" s="120">
        <f t="shared" si="3"/>
        <v>924.8</v>
      </c>
      <c r="AE31" s="121">
        <f t="shared" si="4"/>
        <v>8323.2</v>
      </c>
      <c r="AF31" s="121"/>
      <c r="AG31" s="121"/>
      <c r="AH31" s="121"/>
      <c r="AI31" s="121"/>
      <c r="AJ31" s="121"/>
      <c r="AK31" s="121"/>
      <c r="AL31" s="121">
        <f t="shared" si="0"/>
        <v>2774.4</v>
      </c>
      <c r="AM31" s="120">
        <f t="shared" si="6"/>
        <v>2774.4</v>
      </c>
      <c r="AN31" s="121">
        <f t="shared" si="6"/>
        <v>2774.4</v>
      </c>
      <c r="AO31" s="145">
        <f t="shared" si="1"/>
        <v>924.8</v>
      </c>
    </row>
    <row r="32" spans="2:41">
      <c r="B32" s="25">
        <f t="shared" si="2"/>
        <v>23</v>
      </c>
      <c r="C32" s="32" t="s">
        <v>270</v>
      </c>
      <c r="D32" s="27" t="s">
        <v>271</v>
      </c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>
        <v>1</v>
      </c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(E32*E46)+(F32*F46)+(G32*G46)+(H32*H46)+(I32*I46)+(J32*J46)+(K32*J46)+(L32*L46)+(M32*M46)+(N32*N46)+(O32*O46)+(P32*P46)+(Q32*Q46)+(R32*R46)+(S32*S46)+(T32*T46)+(U32*U46)+(V32*V46)+(W32*W46)+(X32*X46)+(Y32*Y46)+(Z32*Z46)+(AA32*AA46)+(AB32*AB46)</f>
        <v>6800</v>
      </c>
      <c r="AD32" s="120">
        <f t="shared" si="3"/>
        <v>680</v>
      </c>
      <c r="AE32" s="121">
        <f t="shared" si="4"/>
        <v>6120</v>
      </c>
      <c r="AF32" s="121"/>
      <c r="AG32" s="121"/>
      <c r="AH32" s="121"/>
      <c r="AI32" s="121"/>
      <c r="AJ32" s="121"/>
      <c r="AK32" s="121"/>
      <c r="AL32" s="121">
        <f t="shared" si="0"/>
        <v>2040</v>
      </c>
      <c r="AM32" s="120">
        <f t="shared" si="6"/>
        <v>2040</v>
      </c>
      <c r="AN32" s="121">
        <f t="shared" si="6"/>
        <v>2040</v>
      </c>
      <c r="AO32" s="145">
        <f t="shared" si="1"/>
        <v>680</v>
      </c>
    </row>
    <row r="33" spans="2:41">
      <c r="B33" s="25">
        <f t="shared" si="2"/>
        <v>24</v>
      </c>
      <c r="C33" s="32" t="s">
        <v>272</v>
      </c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>
        <v>1</v>
      </c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624</v>
      </c>
      <c r="AD33" s="120">
        <f t="shared" si="3"/>
        <v>62.4</v>
      </c>
      <c r="AE33" s="121">
        <f t="shared" ref="AE33:AE38" si="7">AC33-AD33</f>
        <v>561.6</v>
      </c>
      <c r="AF33" s="121"/>
      <c r="AG33" s="121"/>
      <c r="AH33" s="121"/>
      <c r="AI33" s="121"/>
      <c r="AJ33" s="121"/>
      <c r="AK33" s="121"/>
      <c r="AL33" s="121">
        <f t="shared" si="0"/>
        <v>187.2</v>
      </c>
      <c r="AM33" s="120">
        <f t="shared" si="6"/>
        <v>187.2</v>
      </c>
      <c r="AN33" s="121">
        <f t="shared" si="6"/>
        <v>187.2</v>
      </c>
      <c r="AO33" s="145">
        <f t="shared" si="1"/>
        <v>62.4</v>
      </c>
    </row>
    <row r="34" spans="2:41">
      <c r="B34" s="25">
        <f t="shared" si="2"/>
        <v>25</v>
      </c>
      <c r="C34" s="32" t="s">
        <v>273</v>
      </c>
      <c r="D34" s="27" t="s">
        <v>274</v>
      </c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>
        <v>1</v>
      </c>
      <c r="AA34" s="118"/>
      <c r="AB34" s="118"/>
      <c r="AC34" s="119">
        <f>(E34*E46)+(F34*F46)+(G34*G46)+(H34*H46)+(I34*I46)+(J34*J46)+(K34*K46)+(L34*L46)+(M34*M46)+(N34*N46)+(O34*O46)+(P34*P46)+(Q34*Q46)+(R34*R46)+(S34*S46)+(T34*T46)+(U34*U46)+(V34*V46)+(W34*W46)+(X34*X46)+(Y34*Y46)+(Z34*Z46)+(AA34*AA46)+(AB34*AB46)</f>
        <v>1904</v>
      </c>
      <c r="AD34" s="120">
        <f t="shared" si="3"/>
        <v>190.4</v>
      </c>
      <c r="AE34" s="121">
        <f t="shared" si="7"/>
        <v>1713.6</v>
      </c>
      <c r="AF34" s="121"/>
      <c r="AG34" s="121"/>
      <c r="AH34" s="121"/>
      <c r="AI34" s="121"/>
      <c r="AJ34" s="121"/>
      <c r="AK34" s="121"/>
      <c r="AL34" s="121">
        <f t="shared" si="0"/>
        <v>571.2</v>
      </c>
      <c r="AM34" s="120">
        <f t="shared" si="6"/>
        <v>571.2</v>
      </c>
      <c r="AN34" s="121">
        <f t="shared" si="6"/>
        <v>571.2</v>
      </c>
      <c r="AO34" s="145"/>
    </row>
    <row r="35" spans="2:41">
      <c r="B35" s="25">
        <f t="shared" si="2"/>
        <v>26</v>
      </c>
      <c r="C35" s="32" t="s">
        <v>275</v>
      </c>
      <c r="D35" s="27" t="s">
        <v>276</v>
      </c>
      <c r="E35" s="28"/>
      <c r="F35" s="29">
        <v>1</v>
      </c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>
        <v>1</v>
      </c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(E35*E46)+(F35*F46)+(G35*G46)+(H35*H46)+(I35*I46)+(J35*J46)+(K35*J46)+(L35*L46)+(M35*M46)+(N35*N46)+(O35*O46)+(P35*P46)+(Q35*Q46)+(R35*R46)+(S35*S46)+(T35*T46)+(U35*U46)+(V35*V46)+(W35*W46)+(X35*X46)+(Y35*Y46)+(Z35*Z46)+(AA35*AA46)+(AB35*AB46)</f>
        <v>9248</v>
      </c>
      <c r="AD35" s="120">
        <f t="shared" si="3"/>
        <v>924.8</v>
      </c>
      <c r="AE35" s="121">
        <f t="shared" si="7"/>
        <v>8323.2</v>
      </c>
      <c r="AF35" s="121"/>
      <c r="AG35" s="121"/>
      <c r="AH35" s="121"/>
      <c r="AI35" s="121"/>
      <c r="AJ35" s="121"/>
      <c r="AK35" s="121"/>
      <c r="AL35" s="121">
        <f t="shared" si="0"/>
        <v>2774.4</v>
      </c>
      <c r="AM35" s="120">
        <f t="shared" si="6"/>
        <v>2774.4</v>
      </c>
      <c r="AN35" s="121">
        <f t="shared" si="6"/>
        <v>2774.4</v>
      </c>
      <c r="AO35" s="145"/>
    </row>
    <row r="36" spans="2:41">
      <c r="B36" s="25">
        <f t="shared" si="2"/>
        <v>27</v>
      </c>
      <c r="C36" s="32" t="s">
        <v>277</v>
      </c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>
        <v>1</v>
      </c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6800</v>
      </c>
      <c r="AD36" s="120">
        <f t="shared" si="3"/>
        <v>680</v>
      </c>
      <c r="AE36" s="121">
        <f t="shared" si="7"/>
        <v>6120</v>
      </c>
      <c r="AF36" s="121"/>
      <c r="AG36" s="121"/>
      <c r="AH36" s="121"/>
      <c r="AI36" s="121"/>
      <c r="AJ36" s="121"/>
      <c r="AK36" s="121"/>
      <c r="AL36" s="121">
        <f t="shared" si="0"/>
        <v>2040</v>
      </c>
      <c r="AM36" s="120">
        <f t="shared" si="6"/>
        <v>2040</v>
      </c>
      <c r="AN36" s="121">
        <f t="shared" si="6"/>
        <v>2040</v>
      </c>
      <c r="AO36" s="145"/>
    </row>
    <row r="37" spans="2:41">
      <c r="B37" s="25">
        <f t="shared" si="2"/>
        <v>28</v>
      </c>
      <c r="C37" s="32" t="s">
        <v>278</v>
      </c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>
        <v>1</v>
      </c>
      <c r="W37" s="100"/>
      <c r="X37" s="101"/>
      <c r="Y37" s="101"/>
      <c r="Z37" s="118"/>
      <c r="AA37" s="118"/>
      <c r="AB37" s="118"/>
      <c r="AC37" s="119">
        <f>(E37*E46)+(F37*F46)+(G37*G46)+(H37*H46)+(I37*I46)+(J37*J46)+(K37*K46)+(L37*L46)+(M37*M46)+(N37*N46)+(O37*O46)+(P37*P46)+(Q37*Q46)+(R37*R46)+(S37*S46)+(T37*T46)+(U37*U46)+(V37*V46)+(W37*W46)+(X37*X46)+(Y37*Y46)+(Z37*Z46)+(AA37*AA46)+(AB37*AB46)</f>
        <v>900</v>
      </c>
      <c r="AD37" s="120">
        <f t="shared" si="3"/>
        <v>90</v>
      </c>
      <c r="AE37" s="121">
        <f t="shared" si="7"/>
        <v>810</v>
      </c>
      <c r="AF37" s="121"/>
      <c r="AG37" s="121"/>
      <c r="AH37" s="121"/>
      <c r="AI37" s="121"/>
      <c r="AJ37" s="121"/>
      <c r="AK37" s="121"/>
      <c r="AL37" s="121">
        <f t="shared" si="0"/>
        <v>270</v>
      </c>
      <c r="AM37" s="120">
        <f t="shared" si="6"/>
        <v>270</v>
      </c>
      <c r="AN37" s="121">
        <f t="shared" si="6"/>
        <v>270</v>
      </c>
      <c r="AO37" s="145"/>
    </row>
    <row r="38" spans="2:41">
      <c r="B38" s="25"/>
      <c r="C38" s="32" t="s">
        <v>279</v>
      </c>
      <c r="D38" s="27"/>
      <c r="E38" s="28"/>
      <c r="F38" s="29">
        <v>1</v>
      </c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>
        <v>1</v>
      </c>
      <c r="U38" s="99"/>
      <c r="V38" s="99"/>
      <c r="W38" s="100"/>
      <c r="X38" s="101"/>
      <c r="Y38" s="101"/>
      <c r="Z38" s="118"/>
      <c r="AA38" s="118"/>
      <c r="AB38" s="118"/>
      <c r="AC38" s="119">
        <f>(E38*E47)+(F38*F47)+(G38*G47)+(H38*H47)+(I38*I47)+(J38*J47)+(K38*K47)+(L38*L47)+(M38*M47)+(N38*N47)+(O38*O47)+(P38*P47)+(Q38*Q47)+(R38*R47)+(S38*S47)+(T38*T47)+(U38*U47)+(V38*V47)+(W38*W47)+(X38*X47)+(Y38*Y47)+(Z38*Z47)+(AA38*AA47)+(AB38*AB47)</f>
        <v>0</v>
      </c>
      <c r="AD38" s="120">
        <f t="shared" si="3"/>
        <v>0</v>
      </c>
      <c r="AE38" s="121">
        <f t="shared" si="7"/>
        <v>0</v>
      </c>
      <c r="AF38" s="121"/>
      <c r="AG38" s="121"/>
      <c r="AH38" s="121"/>
      <c r="AI38" s="121"/>
      <c r="AJ38" s="121"/>
      <c r="AK38" s="121"/>
      <c r="AL38" s="121"/>
      <c r="AM38" s="120"/>
      <c r="AN38" s="121"/>
      <c r="AO38" s="145"/>
    </row>
    <row r="39" spans="2:41">
      <c r="B39" s="25"/>
      <c r="C39" s="32" t="s">
        <v>280</v>
      </c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/>
      <c r="AD39" s="120"/>
      <c r="AE39" s="121"/>
      <c r="AF39" s="121"/>
      <c r="AG39" s="121"/>
      <c r="AH39" s="121"/>
      <c r="AI39" s="121"/>
      <c r="AJ39" s="121"/>
      <c r="AK39" s="121"/>
      <c r="AL39" s="121"/>
      <c r="AM39" s="120"/>
      <c r="AN39" s="121"/>
      <c r="AO39" s="145"/>
    </row>
    <row r="40" spans="2:41">
      <c r="B40" s="25">
        <f>B37+1</f>
        <v>29</v>
      </c>
      <c r="C40" s="32" t="s">
        <v>281</v>
      </c>
      <c r="D40" s="27" t="s">
        <v>267</v>
      </c>
      <c r="E40" s="28"/>
      <c r="F40" s="29">
        <v>2</v>
      </c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>
        <v>1</v>
      </c>
      <c r="U40" s="99"/>
      <c r="V40" s="99">
        <v>1</v>
      </c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12596</v>
      </c>
      <c r="AD40" s="120">
        <f>10%*AC40</f>
        <v>1259.6</v>
      </c>
      <c r="AE40" s="121">
        <f>AC40-AD40</f>
        <v>11336.4</v>
      </c>
      <c r="AF40" s="121"/>
      <c r="AG40" s="121"/>
      <c r="AH40" s="121"/>
      <c r="AI40" s="121"/>
      <c r="AJ40" s="121"/>
      <c r="AK40" s="121"/>
      <c r="AL40" s="121">
        <f>AE40/3</f>
        <v>3778.8</v>
      </c>
      <c r="AM40" s="120">
        <f t="shared" ref="AM40:AN42" si="8">AL40</f>
        <v>3778.8</v>
      </c>
      <c r="AN40" s="121">
        <f t="shared" si="8"/>
        <v>3778.8</v>
      </c>
      <c r="AO40" s="145"/>
    </row>
    <row r="41" spans="2:41">
      <c r="B41" s="25">
        <f>B40+1</f>
        <v>30</v>
      </c>
      <c r="C41" s="32" t="s">
        <v>282</v>
      </c>
      <c r="D41" s="33" t="s">
        <v>283</v>
      </c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>
        <v>1</v>
      </c>
      <c r="Q41" s="95"/>
      <c r="R41" s="96"/>
      <c r="S41" s="97"/>
      <c r="T41" s="98">
        <v>1</v>
      </c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7888</v>
      </c>
      <c r="AD41" s="120">
        <f>10%*AC41</f>
        <v>788.8</v>
      </c>
      <c r="AE41" s="121">
        <f>AC41-AD41</f>
        <v>7099.2</v>
      </c>
      <c r="AF41" s="121"/>
      <c r="AG41" s="121"/>
      <c r="AH41" s="121"/>
      <c r="AI41" s="121"/>
      <c r="AJ41" s="121"/>
      <c r="AK41" s="121"/>
      <c r="AL41" s="121">
        <f>AE41/3</f>
        <v>2366.4</v>
      </c>
      <c r="AM41" s="120">
        <f t="shared" si="8"/>
        <v>2366.4</v>
      </c>
      <c r="AN41" s="121">
        <f t="shared" si="8"/>
        <v>2366.4</v>
      </c>
      <c r="AO41" s="145"/>
    </row>
    <row r="42" ht="16.5" spans="2:41">
      <c r="B42" s="186">
        <f>B41+1</f>
        <v>31</v>
      </c>
      <c r="C42" s="187" t="s">
        <v>284</v>
      </c>
      <c r="D42" s="186"/>
      <c r="E42" s="188"/>
      <c r="F42" s="189">
        <v>1</v>
      </c>
      <c r="G42" s="190"/>
      <c r="H42" s="191"/>
      <c r="I42" s="196"/>
      <c r="J42" s="197"/>
      <c r="K42" s="198"/>
      <c r="L42" s="199"/>
      <c r="M42" s="200"/>
      <c r="N42" s="201"/>
      <c r="O42" s="199"/>
      <c r="P42" s="202"/>
      <c r="Q42" s="206"/>
      <c r="R42" s="207"/>
      <c r="S42" s="207"/>
      <c r="T42" s="208"/>
      <c r="U42" s="209"/>
      <c r="V42" s="209"/>
      <c r="W42" s="210"/>
      <c r="X42" s="211"/>
      <c r="Y42" s="211"/>
      <c r="Z42" s="216"/>
      <c r="AA42" s="216"/>
      <c r="AB42" s="216"/>
      <c r="AC42" s="217">
        <f>(E42*E46)+(F42*F46)+(G42*G46)+(H42*H46)+(I42*I46)+(J42*J46)+(K42*K46)+(L42*L46)+(M42*M46)+(N42*N46)+(O42*O46)+(P42*P46)+(Q42*Q46)+(R42*R46)+(S42*S46)+(T42*T46)+(U42*U46)+(V42*V46)+(W42*W46)+(X42*X46)+(Y42*Y46)+(Z42*Z46)+(AA42*AA46)+(AB42*AB46)</f>
        <v>2448</v>
      </c>
      <c r="AD42" s="218">
        <f>10%*AC42</f>
        <v>244.8</v>
      </c>
      <c r="AE42" s="135">
        <f>AC42-AD42</f>
        <v>2203.2</v>
      </c>
      <c r="AF42" s="135"/>
      <c r="AG42" s="135"/>
      <c r="AH42" s="135"/>
      <c r="AI42" s="135"/>
      <c r="AJ42" s="135"/>
      <c r="AK42" s="135"/>
      <c r="AL42" s="123">
        <f>AE42/3</f>
        <v>734.4</v>
      </c>
      <c r="AM42" s="130">
        <f t="shared" si="8"/>
        <v>734.4</v>
      </c>
      <c r="AN42" s="123">
        <f t="shared" si="8"/>
        <v>734.4</v>
      </c>
      <c r="AO42" s="182"/>
    </row>
    <row r="43" ht="18.95" customHeight="1" spans="2:41">
      <c r="B43" s="117" t="s">
        <v>61</v>
      </c>
      <c r="C43" s="192">
        <f>COUNTA(C10:C42)</f>
        <v>33</v>
      </c>
      <c r="D43" s="193"/>
      <c r="E43" s="194">
        <f t="shared" ref="E43:AO43" si="9">SUM(E10:E42)</f>
        <v>30</v>
      </c>
      <c r="F43" s="194">
        <f t="shared" si="9"/>
        <v>16</v>
      </c>
      <c r="G43" s="195">
        <f t="shared" si="9"/>
        <v>0</v>
      </c>
      <c r="H43" s="195">
        <f t="shared" si="9"/>
        <v>2</v>
      </c>
      <c r="I43" s="203">
        <f t="shared" si="9"/>
        <v>1</v>
      </c>
      <c r="J43" s="203">
        <f t="shared" si="9"/>
        <v>0</v>
      </c>
      <c r="K43" s="204">
        <f t="shared" si="9"/>
        <v>6</v>
      </c>
      <c r="L43" s="204">
        <f t="shared" si="9"/>
        <v>0</v>
      </c>
      <c r="M43" s="205">
        <f t="shared" si="9"/>
        <v>0</v>
      </c>
      <c r="N43" s="205">
        <f t="shared" si="9"/>
        <v>0</v>
      </c>
      <c r="O43" s="204">
        <f t="shared" si="9"/>
        <v>2</v>
      </c>
      <c r="P43" s="204">
        <f t="shared" si="9"/>
        <v>2</v>
      </c>
      <c r="Q43" s="212">
        <f t="shared" si="9"/>
        <v>3</v>
      </c>
      <c r="R43" s="213">
        <f t="shared" si="9"/>
        <v>0</v>
      </c>
      <c r="S43" s="213">
        <f t="shared" si="9"/>
        <v>0</v>
      </c>
      <c r="T43" s="214">
        <f t="shared" si="9"/>
        <v>20</v>
      </c>
      <c r="U43" s="215">
        <f t="shared" si="9"/>
        <v>8</v>
      </c>
      <c r="V43" s="215">
        <f t="shared" si="9"/>
        <v>4</v>
      </c>
      <c r="W43" s="203">
        <f t="shared" si="9"/>
        <v>0</v>
      </c>
      <c r="X43" s="204">
        <f t="shared" si="9"/>
        <v>0</v>
      </c>
      <c r="Y43" s="219">
        <f t="shared" si="9"/>
        <v>4</v>
      </c>
      <c r="Z43" s="181">
        <f t="shared" si="9"/>
        <v>1</v>
      </c>
      <c r="AA43" s="181">
        <f t="shared" si="9"/>
        <v>1</v>
      </c>
      <c r="AB43" s="181">
        <f t="shared" si="9"/>
        <v>0</v>
      </c>
      <c r="AC43" s="181">
        <f t="shared" si="9"/>
        <v>206228</v>
      </c>
      <c r="AD43" s="181">
        <f t="shared" si="9"/>
        <v>20622.8</v>
      </c>
      <c r="AE43" s="220">
        <f t="shared" si="9"/>
        <v>185605.2</v>
      </c>
      <c r="AF43" s="181"/>
      <c r="AG43" s="181"/>
      <c r="AH43" s="181"/>
      <c r="AI43" s="181"/>
      <c r="AJ43" s="181"/>
      <c r="AK43" s="181"/>
      <c r="AL43" s="181">
        <f t="shared" si="9"/>
        <v>61868.4</v>
      </c>
      <c r="AM43" s="181">
        <f t="shared" si="9"/>
        <v>61868.4</v>
      </c>
      <c r="AN43" s="181">
        <f t="shared" si="9"/>
        <v>61868.4</v>
      </c>
      <c r="AO43" s="183">
        <f t="shared" si="9"/>
        <v>16444.4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204</v>
      </c>
      <c r="J46" s="40">
        <f>I46*12</f>
        <v>2448</v>
      </c>
      <c r="K46" s="40">
        <v>177</v>
      </c>
      <c r="L46" s="40">
        <f>K46*15</f>
        <v>2655</v>
      </c>
      <c r="M46" s="40">
        <v>116</v>
      </c>
      <c r="N46" s="40">
        <f>M46*6</f>
        <v>696</v>
      </c>
      <c r="O46" s="40">
        <v>272</v>
      </c>
      <c r="P46" s="40">
        <f>O46*4</f>
        <v>1088</v>
      </c>
      <c r="Q46" s="40">
        <v>1496</v>
      </c>
      <c r="R46" s="40">
        <v>272</v>
      </c>
      <c r="S46" s="40">
        <f>R46*4</f>
        <v>1088</v>
      </c>
      <c r="T46" s="40">
        <v>6800</v>
      </c>
      <c r="U46" s="40">
        <v>75</v>
      </c>
      <c r="V46" s="40">
        <f>U46*12</f>
        <v>900</v>
      </c>
      <c r="W46" s="40">
        <v>20</v>
      </c>
      <c r="X46" s="40">
        <v>52</v>
      </c>
      <c r="Y46" s="40">
        <f>X46*12</f>
        <v>624</v>
      </c>
      <c r="Z46" s="40">
        <v>1904</v>
      </c>
      <c r="AA46" s="40">
        <v>122</v>
      </c>
      <c r="AB46" s="40">
        <v>340</v>
      </c>
      <c r="AC46" s="126"/>
    </row>
  </sheetData>
  <mergeCells count="17">
    <mergeCell ref="K4:N4"/>
    <mergeCell ref="E8:F8"/>
    <mergeCell ref="G8:H8"/>
    <mergeCell ref="I8:J8"/>
    <mergeCell ref="K8:L8"/>
    <mergeCell ref="M8:N8"/>
    <mergeCell ref="O8:P8"/>
    <mergeCell ref="R8:S8"/>
    <mergeCell ref="U8:V8"/>
    <mergeCell ref="X8:Y8"/>
    <mergeCell ref="AF8:AN8"/>
    <mergeCell ref="B8:B9"/>
    <mergeCell ref="C8:C9"/>
    <mergeCell ref="D8:D9"/>
    <mergeCell ref="AC8:AC9"/>
    <mergeCell ref="AD8:AD9"/>
    <mergeCell ref="AE8:AE9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B1:AO43"/>
  <sheetViews>
    <sheetView showGridLines="0" workbookViewId="0">
      <pane xSplit="3" ySplit="6" topLeftCell="U7" activePane="bottomRight" state="frozen"/>
      <selection/>
      <selection pane="topRight"/>
      <selection pane="bottomLeft"/>
      <selection pane="bottomRight" activeCell="C35" sqref="C35:AB38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1" spans="3:4">
      <c r="C1" s="2" t="s">
        <v>14</v>
      </c>
      <c r="D1" s="2"/>
    </row>
    <row r="2" ht="16.5" spans="3:4">
      <c r="C2" s="3" t="s">
        <v>15</v>
      </c>
      <c r="D2" s="3"/>
    </row>
    <row r="3" ht="16.5" spans="3:40">
      <c r="C3" s="3" t="s">
        <v>16</v>
      </c>
      <c r="D3" s="3"/>
      <c r="AL3" s="136"/>
      <c r="AM3" s="137"/>
      <c r="AN3" s="138"/>
    </row>
    <row r="4" spans="3:14">
      <c r="C4" s="3"/>
      <c r="D4" s="5" t="s">
        <v>285</v>
      </c>
      <c r="K4" s="133" t="s">
        <v>200</v>
      </c>
      <c r="L4" s="133"/>
      <c r="M4" s="133"/>
      <c r="N4" s="133"/>
    </row>
    <row r="5" ht="18.95" customHeight="1" spans="3:7">
      <c r="C5" s="4" t="s">
        <v>17</v>
      </c>
      <c r="D5" s="5" t="s">
        <v>63</v>
      </c>
      <c r="E5" s="6"/>
      <c r="F5" s="6"/>
      <c r="G5" s="6"/>
    </row>
    <row r="6" ht="18.95" customHeight="1" spans="3:7">
      <c r="C6" s="7" t="s">
        <v>18</v>
      </c>
      <c r="D6" s="5" t="s">
        <v>201</v>
      </c>
      <c r="E6" s="6"/>
      <c r="F6" s="6"/>
      <c r="G6" s="6"/>
    </row>
    <row r="7" ht="18.95" customHeight="1" spans="3:7">
      <c r="C7" s="7" t="s">
        <v>19</v>
      </c>
      <c r="D7" s="5" t="s">
        <v>285</v>
      </c>
      <c r="E7" s="6"/>
      <c r="F7" s="6"/>
      <c r="G7" s="6"/>
    </row>
    <row r="8" ht="46.5" customHeight="1" spans="2:41">
      <c r="B8" s="8" t="s">
        <v>1</v>
      </c>
      <c r="C8" s="8" t="s">
        <v>21</v>
      </c>
      <c r="D8" s="8" t="s">
        <v>22</v>
      </c>
      <c r="E8" s="9" t="s">
        <v>23</v>
      </c>
      <c r="F8" s="10"/>
      <c r="G8" s="11" t="s">
        <v>24</v>
      </c>
      <c r="H8" s="12"/>
      <c r="I8" s="41" t="s">
        <v>25</v>
      </c>
      <c r="J8" s="42"/>
      <c r="K8" s="43" t="s">
        <v>26</v>
      </c>
      <c r="L8" s="44"/>
      <c r="M8" s="45" t="s">
        <v>27</v>
      </c>
      <c r="N8" s="46"/>
      <c r="O8" s="47" t="s">
        <v>28</v>
      </c>
      <c r="P8" s="48"/>
      <c r="Q8" s="73" t="s">
        <v>29</v>
      </c>
      <c r="R8" s="74" t="s">
        <v>30</v>
      </c>
      <c r="S8" s="75"/>
      <c r="T8" s="76" t="s">
        <v>31</v>
      </c>
      <c r="U8" s="77" t="s">
        <v>32</v>
      </c>
      <c r="V8" s="78"/>
      <c r="W8" s="79" t="s">
        <v>33</v>
      </c>
      <c r="X8" s="80" t="s">
        <v>34</v>
      </c>
      <c r="Y8" s="108"/>
      <c r="Z8" s="109" t="s">
        <v>35</v>
      </c>
      <c r="AA8" s="109" t="s">
        <v>36</v>
      </c>
      <c r="AB8" s="109" t="s">
        <v>37</v>
      </c>
      <c r="AC8" s="110" t="s">
        <v>38</v>
      </c>
      <c r="AD8" s="111" t="s">
        <v>66</v>
      </c>
      <c r="AE8" s="111" t="s">
        <v>40</v>
      </c>
      <c r="AF8" s="134" t="s">
        <v>41</v>
      </c>
      <c r="AG8" s="139"/>
      <c r="AH8" s="139"/>
      <c r="AI8" s="139"/>
      <c r="AJ8" s="139"/>
      <c r="AK8" s="139"/>
      <c r="AL8" s="139"/>
      <c r="AM8" s="139"/>
      <c r="AN8" s="140"/>
      <c r="AO8" s="142"/>
    </row>
    <row r="9" ht="32.45" customHeight="1" spans="2:41">
      <c r="B9" s="13"/>
      <c r="C9" s="13"/>
      <c r="D9" s="13"/>
      <c r="E9" s="14" t="s">
        <v>42</v>
      </c>
      <c r="F9" s="15" t="s">
        <v>43</v>
      </c>
      <c r="G9" s="16" t="s">
        <v>42</v>
      </c>
      <c r="H9" s="17" t="s">
        <v>44</v>
      </c>
      <c r="I9" s="49" t="s">
        <v>42</v>
      </c>
      <c r="J9" s="50" t="s">
        <v>44</v>
      </c>
      <c r="K9" s="51" t="s">
        <v>45</v>
      </c>
      <c r="L9" s="52" t="s">
        <v>46</v>
      </c>
      <c r="M9" s="53" t="s">
        <v>47</v>
      </c>
      <c r="N9" s="53" t="s">
        <v>48</v>
      </c>
      <c r="O9" s="54" t="s">
        <v>42</v>
      </c>
      <c r="P9" s="55" t="s">
        <v>49</v>
      </c>
      <c r="Q9" s="81" t="s">
        <v>42</v>
      </c>
      <c r="R9" s="82" t="s">
        <v>50</v>
      </c>
      <c r="S9" s="83" t="s">
        <v>51</v>
      </c>
      <c r="T9" s="84" t="s">
        <v>42</v>
      </c>
      <c r="U9" s="85" t="s">
        <v>52</v>
      </c>
      <c r="V9" s="85" t="s">
        <v>53</v>
      </c>
      <c r="W9" s="86" t="s">
        <v>42</v>
      </c>
      <c r="X9" s="87" t="s">
        <v>52</v>
      </c>
      <c r="Y9" s="87" t="s">
        <v>53</v>
      </c>
      <c r="Z9" s="113" t="s">
        <v>54</v>
      </c>
      <c r="AA9" s="113" t="s">
        <v>54</v>
      </c>
      <c r="AB9" s="113" t="s">
        <v>54</v>
      </c>
      <c r="AC9" s="114"/>
      <c r="AD9" s="115"/>
      <c r="AE9" s="116"/>
      <c r="AF9" s="114" t="s">
        <v>55</v>
      </c>
      <c r="AG9" s="114" t="s">
        <v>56</v>
      </c>
      <c r="AH9" s="114" t="s">
        <v>56</v>
      </c>
      <c r="AI9" s="114" t="s">
        <v>57</v>
      </c>
      <c r="AJ9" s="114"/>
      <c r="AK9" s="114"/>
      <c r="AL9" s="34" t="s">
        <v>55</v>
      </c>
      <c r="AM9" s="141" t="s">
        <v>56</v>
      </c>
      <c r="AN9" s="34" t="s">
        <v>57</v>
      </c>
      <c r="AO9" s="143" t="s">
        <v>58</v>
      </c>
    </row>
    <row r="10" spans="2:41">
      <c r="B10" s="18">
        <f>B9+1</f>
        <v>1</v>
      </c>
      <c r="C10" s="19"/>
      <c r="D10" s="20"/>
      <c r="E10" s="21"/>
      <c r="F10" s="22"/>
      <c r="G10" s="23"/>
      <c r="H10" s="24"/>
      <c r="I10" s="56"/>
      <c r="J10" s="57"/>
      <c r="K10" s="58"/>
      <c r="L10" s="59"/>
      <c r="M10" s="60"/>
      <c r="N10" s="61"/>
      <c r="O10" s="59"/>
      <c r="P10" s="62"/>
      <c r="Q10" s="88"/>
      <c r="R10" s="89"/>
      <c r="S10" s="90"/>
      <c r="T10" s="91"/>
      <c r="U10" s="92"/>
      <c r="V10" s="92"/>
      <c r="W10" s="93"/>
      <c r="X10" s="94"/>
      <c r="Y10" s="94"/>
      <c r="Z10" s="118"/>
      <c r="AA10" s="118"/>
      <c r="AB10" s="118"/>
      <c r="AC10" s="119">
        <f>(E10*E40)+(F10*F40)+(G10*G40)+(H10*H40)+(I10*I40)+(J10*J40)+(K10*K40)+(L10*L40)+(M10*M40)+(N10*N40)+(O10*O40)+(P10*P40)+(Q10*Q40)+(R10*R40)+(S10*S40)+(T10*T40)+(U10*U40)+(V10*V40)+(W10*W40)+(X10*X40)+(Y10*Y40)+(Z10*Z40)+(AA10*AA40)+(AB10*AB40)</f>
        <v>0</v>
      </c>
      <c r="AD10" s="120">
        <f t="shared" ref="AD10" si="0">10%*AC10</f>
        <v>0</v>
      </c>
      <c r="AE10" s="121">
        <f t="shared" ref="AE10" si="1">AC10-AD10</f>
        <v>0</v>
      </c>
      <c r="AF10" s="121"/>
      <c r="AG10" s="121"/>
      <c r="AH10" s="121"/>
      <c r="AI10" s="121"/>
      <c r="AJ10" s="121"/>
      <c r="AK10" s="121"/>
      <c r="AL10" s="121">
        <f t="shared" ref="AL10:AL39" si="2">AE10/3</f>
        <v>0</v>
      </c>
      <c r="AM10" s="120">
        <f>AL10</f>
        <v>0</v>
      </c>
      <c r="AN10" s="121">
        <f>AM10</f>
        <v>0</v>
      </c>
      <c r="AO10" s="145">
        <f t="shared" ref="AO10:AO25" si="3">AD10+AF10+AG10+AH10+AI10+AJ10+AK10</f>
        <v>0</v>
      </c>
    </row>
    <row r="11" spans="2:41">
      <c r="B11" s="25">
        <f t="shared" ref="B11:B39" si="4">B10+1</f>
        <v>2</v>
      </c>
      <c r="C11" s="26"/>
      <c r="D11" s="27"/>
      <c r="E11" s="28"/>
      <c r="F11" s="29"/>
      <c r="G11" s="30"/>
      <c r="H11" s="31"/>
      <c r="I11" s="63"/>
      <c r="J11" s="64"/>
      <c r="K11" s="65"/>
      <c r="L11" s="66"/>
      <c r="M11" s="67"/>
      <c r="N11" s="68"/>
      <c r="O11" s="66"/>
      <c r="P11" s="69"/>
      <c r="Q11" s="95"/>
      <c r="R11" s="96"/>
      <c r="S11" s="97"/>
      <c r="T11" s="98"/>
      <c r="U11" s="99"/>
      <c r="V11" s="99"/>
      <c r="W11" s="100"/>
      <c r="X11" s="101"/>
      <c r="Y11" s="101"/>
      <c r="Z11" s="118"/>
      <c r="AA11" s="118"/>
      <c r="AB11" s="118"/>
      <c r="AC11" s="119">
        <f t="shared" ref="AC11:AC15" si="5">(E11*E41)+(F11*F41)+(G11*G41)+(H11*H41)+(I11*I41)+(J11*J41)+(K11*K41)+(L11*L41)+(M11*M41)+(N11*N41)+(O11*O41)+(P11*P41)+(Q11*Q41)+(R11*R41)+(S11*S41)+(T11*T41)+(U11*U41)+(V11*V41)+(W11*W41)+(X11*X41)+(Y11*Y41)+(Z11*Z41)+(AA11*AA41)+(AB11*AB41)</f>
        <v>0</v>
      </c>
      <c r="AD11" s="120">
        <f t="shared" ref="AD11:AD15" si="6">10%*AC11</f>
        <v>0</v>
      </c>
      <c r="AE11" s="121">
        <f t="shared" ref="AE11:AE15" si="7">AC11-AD11</f>
        <v>0</v>
      </c>
      <c r="AF11" s="121"/>
      <c r="AG11" s="121"/>
      <c r="AH11" s="121"/>
      <c r="AI11" s="121"/>
      <c r="AJ11" s="121"/>
      <c r="AK11" s="121"/>
      <c r="AL11" s="121">
        <f t="shared" si="2"/>
        <v>0</v>
      </c>
      <c r="AM11" s="120">
        <f t="shared" ref="AM11:AN26" si="8">AL11</f>
        <v>0</v>
      </c>
      <c r="AN11" s="121">
        <f t="shared" si="8"/>
        <v>0</v>
      </c>
      <c r="AO11" s="145">
        <f t="shared" si="3"/>
        <v>0</v>
      </c>
    </row>
    <row r="12" spans="2:41">
      <c r="B12" s="25">
        <f t="shared" si="4"/>
        <v>3</v>
      </c>
      <c r="C12" s="26"/>
      <c r="D12" s="27"/>
      <c r="E12" s="28"/>
      <c r="F12" s="29"/>
      <c r="G12" s="30"/>
      <c r="H12" s="31"/>
      <c r="I12" s="63"/>
      <c r="J12" s="64"/>
      <c r="K12" s="65"/>
      <c r="L12" s="66"/>
      <c r="M12" s="67"/>
      <c r="N12" s="68"/>
      <c r="O12" s="66"/>
      <c r="P12" s="69"/>
      <c r="Q12" s="95"/>
      <c r="R12" s="96"/>
      <c r="S12" s="97"/>
      <c r="T12" s="98"/>
      <c r="U12" s="99"/>
      <c r="V12" s="99"/>
      <c r="W12" s="100"/>
      <c r="X12" s="101"/>
      <c r="Y12" s="101"/>
      <c r="Z12" s="118"/>
      <c r="AA12" s="118"/>
      <c r="AB12" s="118"/>
      <c r="AC12" s="119">
        <f t="shared" si="5"/>
        <v>0</v>
      </c>
      <c r="AD12" s="120">
        <f t="shared" si="6"/>
        <v>0</v>
      </c>
      <c r="AE12" s="121">
        <f t="shared" si="7"/>
        <v>0</v>
      </c>
      <c r="AF12" s="121"/>
      <c r="AG12" s="121"/>
      <c r="AH12" s="121"/>
      <c r="AI12" s="121"/>
      <c r="AJ12" s="121"/>
      <c r="AK12" s="121"/>
      <c r="AL12" s="121">
        <f t="shared" si="2"/>
        <v>0</v>
      </c>
      <c r="AM12" s="120">
        <f t="shared" si="8"/>
        <v>0</v>
      </c>
      <c r="AN12" s="121">
        <f t="shared" si="8"/>
        <v>0</v>
      </c>
      <c r="AO12" s="145">
        <f t="shared" si="3"/>
        <v>0</v>
      </c>
    </row>
    <row r="13" spans="2:41">
      <c r="B13" s="25">
        <f t="shared" si="4"/>
        <v>4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 t="shared" si="5"/>
        <v>0</v>
      </c>
      <c r="AD13" s="120">
        <f t="shared" si="6"/>
        <v>0</v>
      </c>
      <c r="AE13" s="121">
        <f t="shared" si="7"/>
        <v>0</v>
      </c>
      <c r="AF13" s="121"/>
      <c r="AG13" s="121"/>
      <c r="AH13" s="121"/>
      <c r="AI13" s="121"/>
      <c r="AJ13" s="121"/>
      <c r="AK13" s="121"/>
      <c r="AL13" s="121">
        <f t="shared" si="2"/>
        <v>0</v>
      </c>
      <c r="AM13" s="120">
        <f t="shared" si="8"/>
        <v>0</v>
      </c>
      <c r="AN13" s="121">
        <f t="shared" si="8"/>
        <v>0</v>
      </c>
      <c r="AO13" s="145">
        <f t="shared" si="3"/>
        <v>0</v>
      </c>
    </row>
    <row r="14" spans="2:41">
      <c r="B14" s="25">
        <f t="shared" si="4"/>
        <v>5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 t="shared" si="5"/>
        <v>0</v>
      </c>
      <c r="AD14" s="120">
        <f t="shared" si="6"/>
        <v>0</v>
      </c>
      <c r="AE14" s="121">
        <f t="shared" si="7"/>
        <v>0</v>
      </c>
      <c r="AF14" s="121"/>
      <c r="AG14" s="121"/>
      <c r="AH14" s="121"/>
      <c r="AI14" s="121"/>
      <c r="AJ14" s="121"/>
      <c r="AK14" s="121"/>
      <c r="AL14" s="121">
        <f t="shared" si="2"/>
        <v>0</v>
      </c>
      <c r="AM14" s="120">
        <f t="shared" si="8"/>
        <v>0</v>
      </c>
      <c r="AN14" s="121">
        <f t="shared" si="8"/>
        <v>0</v>
      </c>
      <c r="AO14" s="145">
        <f t="shared" si="3"/>
        <v>0</v>
      </c>
    </row>
    <row r="15" spans="2:41">
      <c r="B15" s="25">
        <f t="shared" si="4"/>
        <v>6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 t="shared" si="5"/>
        <v>0</v>
      </c>
      <c r="AD15" s="120">
        <f t="shared" si="6"/>
        <v>0</v>
      </c>
      <c r="AE15" s="121">
        <f t="shared" si="7"/>
        <v>0</v>
      </c>
      <c r="AF15" s="121"/>
      <c r="AG15" s="121"/>
      <c r="AH15" s="121"/>
      <c r="AI15" s="121"/>
      <c r="AJ15" s="121"/>
      <c r="AK15" s="121"/>
      <c r="AL15" s="121">
        <f t="shared" si="2"/>
        <v>0</v>
      </c>
      <c r="AM15" s="120">
        <f t="shared" si="8"/>
        <v>0</v>
      </c>
      <c r="AN15" s="121">
        <f t="shared" si="8"/>
        <v>0</v>
      </c>
      <c r="AO15" s="145">
        <f t="shared" si="3"/>
        <v>0</v>
      </c>
    </row>
    <row r="16" spans="2:41">
      <c r="B16" s="25">
        <f t="shared" si="4"/>
        <v>7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(E16*E43)+(F16*F43)+(G16*G43)+(H16*H43)+(I16*I43)+(J16*J43)+(K16*K43)+(L16*L43)+(M16*M43)+(N16*N43)+(O16*O43)+(P16*P43)+(Q16*Q43)+(R16*R43)+(S16*S43)+(T16*T43)+(U16*U43)+(V16*V43)+(W16*W43)+(X16*X43)+(Y16*Y43)+(Z16*Z43)+(AA16*AA43)+(AB16*AB43)</f>
        <v>0</v>
      </c>
      <c r="AD16" s="120">
        <f t="shared" ref="AD16:AD39" si="9">10%*AC16</f>
        <v>0</v>
      </c>
      <c r="AE16" s="121">
        <f>AC16-AO16</f>
        <v>0</v>
      </c>
      <c r="AF16" s="121"/>
      <c r="AG16" s="121"/>
      <c r="AH16" s="121"/>
      <c r="AI16" s="121"/>
      <c r="AJ16" s="121"/>
      <c r="AK16" s="121"/>
      <c r="AL16" s="121">
        <f t="shared" si="2"/>
        <v>0</v>
      </c>
      <c r="AM16" s="120">
        <f>AL16</f>
        <v>0</v>
      </c>
      <c r="AN16" s="121">
        <f t="shared" si="8"/>
        <v>0</v>
      </c>
      <c r="AO16" s="145">
        <f t="shared" si="3"/>
        <v>0</v>
      </c>
    </row>
    <row r="17" spans="2:41">
      <c r="B17" s="25">
        <f t="shared" si="4"/>
        <v>8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(E17*E43)+(F17*F43)+(G17*G43)+(H17*H43)+(I17*I43)+(J17*J43)+(K17*K43)+(L17*L43)+(M17*M43)+(N17*N43)+(O17*O43)+(P17*P43)+(Q17*Q43)+(R17*R43)+(S17*S43)+(T17*T43)+(U17*U43)+(V17*V43)+(W17*W43)+(X17*X43)+(Y17*Y43)+(Z17*Z43)+(AA17*AA43)+(AB17*AB43)</f>
        <v>0</v>
      </c>
      <c r="AD17" s="120">
        <f t="shared" si="9"/>
        <v>0</v>
      </c>
      <c r="AE17" s="121">
        <f t="shared" ref="AE17:AE39" si="10">AC17-AD17</f>
        <v>0</v>
      </c>
      <c r="AF17" s="121"/>
      <c r="AG17" s="121"/>
      <c r="AH17" s="121"/>
      <c r="AI17" s="121"/>
      <c r="AJ17" s="121"/>
      <c r="AK17" s="121"/>
      <c r="AL17" s="121">
        <f t="shared" si="2"/>
        <v>0</v>
      </c>
      <c r="AM17" s="120">
        <f t="shared" si="8"/>
        <v>0</v>
      </c>
      <c r="AN17" s="121">
        <f t="shared" si="8"/>
        <v>0</v>
      </c>
      <c r="AO17" s="145">
        <f t="shared" si="3"/>
        <v>0</v>
      </c>
    </row>
    <row r="18" spans="2:41">
      <c r="B18" s="25">
        <f t="shared" si="4"/>
        <v>9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 t="shared" ref="AC18:AC27" si="11">(E18*E44)+(F18*F44)+(G18*G44)+(H18*H44)+(I18*I44)+(J18*J44)+(K18*K44)+(L18*L44)+(M18*M44)+(N18*N44)+(O18*O44)+(P18*P44)+(Q18*Q44)+(R18*R44)+(S18*S44)+(T18*T44)+(U18*U44)+(V18*V44)+(W18*W44)+(X18*X44)+(Y18*Y44)+(Z18*Z44)+(AA18*AA44)+(AB18*AB44)</f>
        <v>0</v>
      </c>
      <c r="AD18" s="120">
        <f t="shared" ref="AD18:AD27" si="12">10%*AC18</f>
        <v>0</v>
      </c>
      <c r="AE18" s="121">
        <f t="shared" ref="AE18:AE27" si="13">AC18-AD18</f>
        <v>0</v>
      </c>
      <c r="AF18" s="121"/>
      <c r="AG18" s="121"/>
      <c r="AH18" s="121"/>
      <c r="AI18" s="121"/>
      <c r="AJ18" s="121"/>
      <c r="AK18" s="121"/>
      <c r="AL18" s="121">
        <f t="shared" si="2"/>
        <v>0</v>
      </c>
      <c r="AM18" s="120">
        <f t="shared" si="8"/>
        <v>0</v>
      </c>
      <c r="AN18" s="121">
        <f t="shared" si="8"/>
        <v>0</v>
      </c>
      <c r="AO18" s="145">
        <f t="shared" si="3"/>
        <v>0</v>
      </c>
    </row>
    <row r="19" spans="2:41">
      <c r="B19" s="25">
        <f t="shared" si="4"/>
        <v>10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 t="shared" si="11"/>
        <v>0</v>
      </c>
      <c r="AD19" s="120">
        <f t="shared" si="12"/>
        <v>0</v>
      </c>
      <c r="AE19" s="121">
        <f t="shared" si="13"/>
        <v>0</v>
      </c>
      <c r="AF19" s="121"/>
      <c r="AG19" s="121"/>
      <c r="AH19" s="121"/>
      <c r="AI19" s="121"/>
      <c r="AJ19" s="121"/>
      <c r="AK19" s="121"/>
      <c r="AL19" s="121">
        <f t="shared" si="2"/>
        <v>0</v>
      </c>
      <c r="AM19" s="120">
        <f t="shared" si="8"/>
        <v>0</v>
      </c>
      <c r="AN19" s="121">
        <f t="shared" si="8"/>
        <v>0</v>
      </c>
      <c r="AO19" s="145">
        <f t="shared" si="3"/>
        <v>0</v>
      </c>
    </row>
    <row r="20" spans="2:41">
      <c r="B20" s="25">
        <f t="shared" si="4"/>
        <v>11</v>
      </c>
      <c r="C20" s="32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 t="shared" si="11"/>
        <v>0</v>
      </c>
      <c r="AD20" s="120">
        <f t="shared" si="12"/>
        <v>0</v>
      </c>
      <c r="AE20" s="121">
        <f t="shared" si="13"/>
        <v>0</v>
      </c>
      <c r="AF20" s="121"/>
      <c r="AG20" s="121"/>
      <c r="AH20" s="121"/>
      <c r="AI20" s="121"/>
      <c r="AJ20" s="121"/>
      <c r="AK20" s="121"/>
      <c r="AL20" s="121">
        <f t="shared" si="2"/>
        <v>0</v>
      </c>
      <c r="AM20" s="120">
        <f t="shared" si="8"/>
        <v>0</v>
      </c>
      <c r="AN20" s="121">
        <f t="shared" si="8"/>
        <v>0</v>
      </c>
      <c r="AO20" s="145">
        <f t="shared" si="3"/>
        <v>0</v>
      </c>
    </row>
    <row r="21" spans="2:41">
      <c r="B21" s="25">
        <f t="shared" si="4"/>
        <v>12</v>
      </c>
      <c r="C21" s="32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 t="shared" si="11"/>
        <v>0</v>
      </c>
      <c r="AD21" s="120">
        <f t="shared" si="12"/>
        <v>0</v>
      </c>
      <c r="AE21" s="121">
        <f t="shared" si="13"/>
        <v>0</v>
      </c>
      <c r="AF21" s="121"/>
      <c r="AG21" s="121"/>
      <c r="AH21" s="121"/>
      <c r="AI21" s="121"/>
      <c r="AJ21" s="121"/>
      <c r="AK21" s="121"/>
      <c r="AL21" s="121">
        <f t="shared" si="2"/>
        <v>0</v>
      </c>
      <c r="AM21" s="120">
        <f t="shared" si="8"/>
        <v>0</v>
      </c>
      <c r="AN21" s="121">
        <f t="shared" si="8"/>
        <v>0</v>
      </c>
      <c r="AO21" s="145">
        <f t="shared" si="3"/>
        <v>0</v>
      </c>
    </row>
    <row r="22" spans="2:41">
      <c r="B22" s="25">
        <f t="shared" si="4"/>
        <v>13</v>
      </c>
      <c r="C22" s="32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 t="shared" si="11"/>
        <v>0</v>
      </c>
      <c r="AD22" s="120">
        <f t="shared" si="12"/>
        <v>0</v>
      </c>
      <c r="AE22" s="121">
        <f t="shared" si="13"/>
        <v>0</v>
      </c>
      <c r="AF22" s="121"/>
      <c r="AG22" s="121"/>
      <c r="AH22" s="121"/>
      <c r="AI22" s="121"/>
      <c r="AJ22" s="121"/>
      <c r="AK22" s="121"/>
      <c r="AL22" s="121">
        <f t="shared" si="2"/>
        <v>0</v>
      </c>
      <c r="AM22" s="120">
        <f t="shared" si="8"/>
        <v>0</v>
      </c>
      <c r="AN22" s="121">
        <f t="shared" si="8"/>
        <v>0</v>
      </c>
      <c r="AO22" s="145">
        <f t="shared" si="3"/>
        <v>0</v>
      </c>
    </row>
    <row r="23" spans="2:41">
      <c r="B23" s="25">
        <f t="shared" si="4"/>
        <v>14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 t="shared" si="11"/>
        <v>0</v>
      </c>
      <c r="AD23" s="120">
        <f t="shared" si="12"/>
        <v>0</v>
      </c>
      <c r="AE23" s="121">
        <f t="shared" si="13"/>
        <v>0</v>
      </c>
      <c r="AF23" s="121"/>
      <c r="AG23" s="121"/>
      <c r="AH23" s="121"/>
      <c r="AI23" s="121"/>
      <c r="AJ23" s="121"/>
      <c r="AK23" s="121"/>
      <c r="AL23" s="121">
        <f t="shared" si="2"/>
        <v>0</v>
      </c>
      <c r="AM23" s="120">
        <f t="shared" si="8"/>
        <v>0</v>
      </c>
      <c r="AN23" s="121">
        <f t="shared" si="8"/>
        <v>0</v>
      </c>
      <c r="AO23" s="145">
        <f t="shared" si="3"/>
        <v>0</v>
      </c>
    </row>
    <row r="24" spans="2:41">
      <c r="B24" s="25">
        <f t="shared" si="4"/>
        <v>15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 t="shared" si="11"/>
        <v>0</v>
      </c>
      <c r="AD24" s="120">
        <f t="shared" si="12"/>
        <v>0</v>
      </c>
      <c r="AE24" s="121">
        <f t="shared" si="13"/>
        <v>0</v>
      </c>
      <c r="AF24" s="121"/>
      <c r="AG24" s="121"/>
      <c r="AH24" s="121"/>
      <c r="AI24" s="121"/>
      <c r="AJ24" s="121"/>
      <c r="AK24" s="121"/>
      <c r="AL24" s="121">
        <f t="shared" si="2"/>
        <v>0</v>
      </c>
      <c r="AM24" s="120">
        <f t="shared" si="8"/>
        <v>0</v>
      </c>
      <c r="AN24" s="121">
        <f t="shared" si="8"/>
        <v>0</v>
      </c>
      <c r="AO24" s="145">
        <f t="shared" si="3"/>
        <v>0</v>
      </c>
    </row>
    <row r="25" spans="2:41">
      <c r="B25" s="25">
        <f t="shared" si="4"/>
        <v>16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 t="shared" si="11"/>
        <v>0</v>
      </c>
      <c r="AD25" s="120">
        <f t="shared" si="12"/>
        <v>0</v>
      </c>
      <c r="AE25" s="121">
        <f t="shared" si="13"/>
        <v>0</v>
      </c>
      <c r="AF25" s="121"/>
      <c r="AG25" s="121"/>
      <c r="AH25" s="121"/>
      <c r="AI25" s="121"/>
      <c r="AJ25" s="121"/>
      <c r="AK25" s="121"/>
      <c r="AL25" s="121">
        <f t="shared" si="2"/>
        <v>0</v>
      </c>
      <c r="AM25" s="120">
        <f t="shared" si="8"/>
        <v>0</v>
      </c>
      <c r="AN25" s="121">
        <f t="shared" si="8"/>
        <v>0</v>
      </c>
      <c r="AO25" s="145">
        <f t="shared" si="3"/>
        <v>0</v>
      </c>
    </row>
    <row r="26" spans="2:41">
      <c r="B26" s="25">
        <f t="shared" si="4"/>
        <v>17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 t="shared" si="11"/>
        <v>0</v>
      </c>
      <c r="AD26" s="120">
        <f t="shared" si="12"/>
        <v>0</v>
      </c>
      <c r="AE26" s="121">
        <f t="shared" si="13"/>
        <v>0</v>
      </c>
      <c r="AF26" s="121"/>
      <c r="AG26" s="121"/>
      <c r="AH26" s="121"/>
      <c r="AI26" s="121"/>
      <c r="AJ26" s="121"/>
      <c r="AK26" s="121"/>
      <c r="AL26" s="121">
        <f t="shared" si="2"/>
        <v>0</v>
      </c>
      <c r="AM26" s="120">
        <f t="shared" si="8"/>
        <v>0</v>
      </c>
      <c r="AN26" s="121">
        <f t="shared" si="8"/>
        <v>0</v>
      </c>
      <c r="AO26" s="145"/>
    </row>
    <row r="27" spans="2:41">
      <c r="B27" s="25">
        <f t="shared" si="4"/>
        <v>18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 t="shared" si="11"/>
        <v>0</v>
      </c>
      <c r="AD27" s="120">
        <f t="shared" si="12"/>
        <v>0</v>
      </c>
      <c r="AE27" s="121">
        <f t="shared" si="13"/>
        <v>0</v>
      </c>
      <c r="AF27" s="121"/>
      <c r="AG27" s="121"/>
      <c r="AH27" s="121"/>
      <c r="AI27" s="121"/>
      <c r="AJ27" s="121"/>
      <c r="AK27" s="121"/>
      <c r="AL27" s="121">
        <f t="shared" si="2"/>
        <v>0</v>
      </c>
      <c r="AM27" s="120">
        <f t="shared" ref="AM27:AN39" si="14">AL27</f>
        <v>0</v>
      </c>
      <c r="AN27" s="121">
        <f t="shared" si="14"/>
        <v>0</v>
      </c>
      <c r="AO27" s="145"/>
    </row>
    <row r="28" spans="2:41">
      <c r="B28" s="25">
        <f t="shared" si="4"/>
        <v>19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(E28*E43)+(F28*F43)+(G28*G43)+(H28*H43)+(I28*I43)+(J28*J43)+(K28*K43)+(L28*L43)+(M28*M43)+(N28*N43)+(O28*O43)+(P28*P43)+(Q28*Q43)+(R28*R43)+(S28*S43)+(T28*T43)+(U28*U43)+(V28*V43)+(W28*W43)+(X28*X43)+(Y28*Y43)+(Z28*Z43)+(AA28*AA43)+(AB28*AB43)</f>
        <v>0</v>
      </c>
      <c r="AD28" s="120">
        <f t="shared" si="9"/>
        <v>0</v>
      </c>
      <c r="AE28" s="121">
        <f t="shared" si="10"/>
        <v>0</v>
      </c>
      <c r="AF28" s="121"/>
      <c r="AG28" s="121"/>
      <c r="AH28" s="121"/>
      <c r="AI28" s="121"/>
      <c r="AJ28" s="121"/>
      <c r="AK28" s="121"/>
      <c r="AL28" s="121">
        <f t="shared" si="2"/>
        <v>0</v>
      </c>
      <c r="AM28" s="120">
        <f t="shared" si="14"/>
        <v>0</v>
      </c>
      <c r="AN28" s="121">
        <f t="shared" si="14"/>
        <v>0</v>
      </c>
      <c r="AO28" s="145"/>
    </row>
    <row r="29" spans="2:41">
      <c r="B29" s="25">
        <f t="shared" si="4"/>
        <v>20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(E29*E43)+(F29*F43)+(G29*G43)+(H29*H43)+(I29*I43)+(J29*J43)+(K29*J43)+(L29*L43)+(M29*M43)+(N29*N43)+(O29*O43)+(P29*P43)+(Q29*Q43)+(R29*R43)+(S29*S43)+(T29*T43)+(U29*U43)+(V29*V43)+(W29*W43)+(X29*X43)+(Y29*Y43)+(Z29*Z43)+(AA29*AA43)+(AB29*AB43)</f>
        <v>0</v>
      </c>
      <c r="AD29" s="120">
        <f t="shared" si="9"/>
        <v>0</v>
      </c>
      <c r="AE29" s="121">
        <f t="shared" si="10"/>
        <v>0</v>
      </c>
      <c r="AF29" s="121"/>
      <c r="AG29" s="121"/>
      <c r="AH29" s="121"/>
      <c r="AI29" s="121"/>
      <c r="AJ29" s="121"/>
      <c r="AK29" s="121"/>
      <c r="AL29" s="121">
        <f t="shared" si="2"/>
        <v>0</v>
      </c>
      <c r="AM29" s="120">
        <f t="shared" si="14"/>
        <v>0</v>
      </c>
      <c r="AN29" s="121">
        <f t="shared" si="14"/>
        <v>0</v>
      </c>
      <c r="AO29" s="145"/>
    </row>
    <row r="30" spans="2:41">
      <c r="B30" s="25">
        <f t="shared" si="4"/>
        <v>21</v>
      </c>
      <c r="C30" s="184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(E30*E43)+(F30*F43)+(G30*G43)+(H30*H43)+(I30*I43)+(J30*J43)+(K30*K43)+(L30*L43)+(M30*M43)+(N30*N43)+(O30*O43)+(P30*P43)+(Q30*Q43)+(R30*R43)+(S30*S43)+(T30*T43)+(U30*U43)+(V30*V43)+(W30*W43)+(X30*X43)+(Y30*Y43)+(Z30*Z43)+(AA30*AA43)+(AB30*AB43)</f>
        <v>0</v>
      </c>
      <c r="AD30" s="120">
        <f t="shared" si="9"/>
        <v>0</v>
      </c>
      <c r="AE30" s="121">
        <f t="shared" si="10"/>
        <v>0</v>
      </c>
      <c r="AF30" s="121"/>
      <c r="AG30" s="121"/>
      <c r="AH30" s="121"/>
      <c r="AI30" s="121"/>
      <c r="AJ30" s="121"/>
      <c r="AK30" s="121"/>
      <c r="AL30" s="121">
        <f t="shared" si="2"/>
        <v>0</v>
      </c>
      <c r="AM30" s="120">
        <f t="shared" si="14"/>
        <v>0</v>
      </c>
      <c r="AN30" s="121">
        <f t="shared" si="14"/>
        <v>0</v>
      </c>
      <c r="AO30" s="145"/>
    </row>
    <row r="31" spans="2:41">
      <c r="B31" s="25">
        <f t="shared" si="4"/>
        <v>22</v>
      </c>
      <c r="C31" s="184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(E31*E43)+(F31*F43)+(G31*G43)+(H31*H43)+(I31*I43)+(J31*J43)+(K31*K43)+(L31*L43)+(M31*M43)+(N31*N43)+(O31*O43)+(P31*P43)+(Q31*Q43)+(R31*R43)+(S31*S43)+(T31*T43)+(U31*U43)+(V31*V43)+(W31*W43)+(X31*X43)+(Y31*Y43)+(Z31*Z43)+(AA31*AA43)+(AB31*AB43)</f>
        <v>0</v>
      </c>
      <c r="AD31" s="120">
        <f t="shared" si="9"/>
        <v>0</v>
      </c>
      <c r="AE31" s="121">
        <f t="shared" si="10"/>
        <v>0</v>
      </c>
      <c r="AF31" s="121"/>
      <c r="AG31" s="121"/>
      <c r="AH31" s="121"/>
      <c r="AI31" s="121"/>
      <c r="AJ31" s="121"/>
      <c r="AK31" s="121"/>
      <c r="AL31" s="121">
        <f t="shared" si="2"/>
        <v>0</v>
      </c>
      <c r="AM31" s="120">
        <f t="shared" si="14"/>
        <v>0</v>
      </c>
      <c r="AN31" s="121">
        <f t="shared" si="14"/>
        <v>0</v>
      </c>
      <c r="AO31" s="145"/>
    </row>
    <row r="32" spans="2:41">
      <c r="B32" s="25">
        <f t="shared" si="4"/>
        <v>23</v>
      </c>
      <c r="C32" s="184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(E32*E43)+(F32*F43)+(G32*G43)+(H32*H43)+(I32*I43)+(J32*J43)+(K32*J43)+(L32*L43)+(M32*M43)+(N32*N43)+(O32*O43)+(P32*P43)+(Q32*Q43)+(R32*R43)+(S32*S43)+(T32*T43)+(U32*U43)+(V32*V43)+(W32*W43)+(X32*X43)+(Y32*Y43)+(Z32*Z43)+(AA32*AA43)+(AB32*AB43)</f>
        <v>0</v>
      </c>
      <c r="AD32" s="120">
        <f t="shared" si="9"/>
        <v>0</v>
      </c>
      <c r="AE32" s="121">
        <f t="shared" si="10"/>
        <v>0</v>
      </c>
      <c r="AF32" s="121"/>
      <c r="AG32" s="121"/>
      <c r="AH32" s="121"/>
      <c r="AI32" s="121"/>
      <c r="AJ32" s="121"/>
      <c r="AK32" s="121"/>
      <c r="AL32" s="121">
        <f t="shared" si="2"/>
        <v>0</v>
      </c>
      <c r="AM32" s="120">
        <f t="shared" si="14"/>
        <v>0</v>
      </c>
      <c r="AN32" s="121">
        <f t="shared" si="14"/>
        <v>0</v>
      </c>
      <c r="AO32" s="145"/>
    </row>
    <row r="33" spans="2:41">
      <c r="B33" s="25">
        <f t="shared" si="4"/>
        <v>24</v>
      </c>
      <c r="C33" s="184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(E33*E43)+(F33*F43)+(G33*G43)+(H33*H43)+(I33*I43)+(J33*J43)+(K33*K43)+(L33*L43)+(M33*M43)+(N33*N43)+(O33*O43)+(P33*P43)+(Q33*Q43)+(R33*R43)+(S33*S43)+(T33*T43)+(U33*U43)+(V33*V43)+(W33*W43)+(X33*X43)+(Y33*Y43)+(Z33*Z43)+(AA33*AA43)+(AB33*AB43)</f>
        <v>0</v>
      </c>
      <c r="AD33" s="120">
        <f t="shared" si="9"/>
        <v>0</v>
      </c>
      <c r="AE33" s="121">
        <f t="shared" si="10"/>
        <v>0</v>
      </c>
      <c r="AF33" s="121"/>
      <c r="AG33" s="121"/>
      <c r="AH33" s="121"/>
      <c r="AI33" s="121"/>
      <c r="AJ33" s="121"/>
      <c r="AK33" s="121"/>
      <c r="AL33" s="121">
        <f t="shared" si="2"/>
        <v>0</v>
      </c>
      <c r="AM33" s="120">
        <f t="shared" si="14"/>
        <v>0</v>
      </c>
      <c r="AN33" s="121">
        <f t="shared" si="14"/>
        <v>0</v>
      </c>
      <c r="AO33" s="145"/>
    </row>
    <row r="34" spans="2:41">
      <c r="B34" s="25">
        <f t="shared" si="4"/>
        <v>25</v>
      </c>
      <c r="C34" s="184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(E34*E43)+(F34*F43)+(G34*G43)+(H34*H43)+(I34*I43)+(J34*J43)+(K34*K43)+(L34*L43)+(M34*M43)+(N34*N43)+(O34*O43)+(P34*P43)+(Q34*Q43)+(R34*R43)+(S34*S43)+(T34*T43)+(U34*U43)+(V34*V43)+(W34*W43)+(X34*X43)+(Y34*Y43)+(Z34*Z43)+(AA34*AA43)+(AB34*AB43)</f>
        <v>0</v>
      </c>
      <c r="AD34" s="120">
        <f t="shared" si="9"/>
        <v>0</v>
      </c>
      <c r="AE34" s="121">
        <f t="shared" si="10"/>
        <v>0</v>
      </c>
      <c r="AF34" s="121"/>
      <c r="AG34" s="121"/>
      <c r="AH34" s="121"/>
      <c r="AI34" s="121"/>
      <c r="AJ34" s="121"/>
      <c r="AK34" s="121"/>
      <c r="AL34" s="121">
        <f t="shared" si="2"/>
        <v>0</v>
      </c>
      <c r="AM34" s="120">
        <f t="shared" si="14"/>
        <v>0</v>
      </c>
      <c r="AN34" s="121">
        <f t="shared" si="14"/>
        <v>0</v>
      </c>
      <c r="AO34" s="145"/>
    </row>
    <row r="35" spans="2:41">
      <c r="B35" s="25">
        <f t="shared" si="4"/>
        <v>26</v>
      </c>
      <c r="C35" s="184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(E35*E43)+(F35*F43)+(G35*G43)+(H35*H43)+(I35*I43)+(J35*J43)+(K35*K43)+(L35*L43)+(M35*M43)+(N35*N43)+(O35*O43)+(P35*P43)+(Q35*Q43)+(R35*R43)+(S35*S43)+(T35*T43)+(U35*U43)+(V35*V43)+(W35*W43)+(X35*X43)+(Y35*Y43)+(Z35*Z43)+(AA35*AA43)+(AB35*AB43)</f>
        <v>0</v>
      </c>
      <c r="AD35" s="120">
        <f t="shared" si="9"/>
        <v>0</v>
      </c>
      <c r="AE35" s="121">
        <f t="shared" si="10"/>
        <v>0</v>
      </c>
      <c r="AF35" s="121"/>
      <c r="AG35" s="121"/>
      <c r="AH35" s="121"/>
      <c r="AI35" s="121"/>
      <c r="AJ35" s="121"/>
      <c r="AK35" s="121"/>
      <c r="AL35" s="121">
        <f t="shared" si="2"/>
        <v>0</v>
      </c>
      <c r="AM35" s="120">
        <f t="shared" si="14"/>
        <v>0</v>
      </c>
      <c r="AN35" s="121">
        <f t="shared" si="14"/>
        <v>0</v>
      </c>
      <c r="AO35" s="145"/>
    </row>
    <row r="36" spans="2:41">
      <c r="B36" s="25">
        <f t="shared" si="4"/>
        <v>27</v>
      </c>
      <c r="C36" s="184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(E36*E43)+(F36*F43)+(G36*G43)+(H36*H43)+(I36*I43)+(J36*J43)+(K36*K43)+(L36*L43)+(M36*M43)+(N36*N43)+(O36*O43)+(P36*P43)+(Q36*Q43)+(R36*R43)+(S36*S43)+(T36*T43)+(U36*U43)+(V36*V43)+(W36*W43)+(X36*X43)+(Y36*Y43)+(Z36*Z43)+(AA36*AA43)+(AB36*AB43)</f>
        <v>0</v>
      </c>
      <c r="AD36" s="120">
        <f t="shared" si="9"/>
        <v>0</v>
      </c>
      <c r="AE36" s="121">
        <f t="shared" si="10"/>
        <v>0</v>
      </c>
      <c r="AF36" s="121"/>
      <c r="AG36" s="121"/>
      <c r="AH36" s="121"/>
      <c r="AI36" s="121"/>
      <c r="AJ36" s="121"/>
      <c r="AK36" s="121"/>
      <c r="AL36" s="121">
        <f t="shared" si="2"/>
        <v>0</v>
      </c>
      <c r="AM36" s="120">
        <f t="shared" si="14"/>
        <v>0</v>
      </c>
      <c r="AN36" s="121">
        <f t="shared" si="14"/>
        <v>0</v>
      </c>
      <c r="AO36" s="145"/>
    </row>
    <row r="37" spans="2:41">
      <c r="B37" s="25">
        <f t="shared" si="4"/>
        <v>28</v>
      </c>
      <c r="C37" s="184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(E37*E43)+(F37*F43)+(G37*G43)+(H37*H43)+(I37*I43)+(J37*J43)+(K37*J43)+(L37*L43)+(M37*M43)+(N37*N43)+(O37*O43)+(P37*P43)+(Q37*Q43)+(R37*R43)+(S37*S43)+(T37*T43)+(U37*U43)+(V37*V43)+(W37*W43)+(X37*X43)+(Y37*Y43)+(Z37*Z43)+(AA37*AA43)+(AB37*AB43)</f>
        <v>0</v>
      </c>
      <c r="AD37" s="120">
        <f t="shared" si="9"/>
        <v>0</v>
      </c>
      <c r="AE37" s="121">
        <f t="shared" si="10"/>
        <v>0</v>
      </c>
      <c r="AF37" s="121"/>
      <c r="AG37" s="121"/>
      <c r="AH37" s="121"/>
      <c r="AI37" s="121"/>
      <c r="AJ37" s="121"/>
      <c r="AK37" s="121"/>
      <c r="AL37" s="121">
        <f t="shared" si="2"/>
        <v>0</v>
      </c>
      <c r="AM37" s="120">
        <f t="shared" si="14"/>
        <v>0</v>
      </c>
      <c r="AN37" s="121">
        <f t="shared" si="14"/>
        <v>0</v>
      </c>
      <c r="AO37" s="145"/>
    </row>
    <row r="38" spans="2:41">
      <c r="B38" s="25">
        <f t="shared" si="4"/>
        <v>29</v>
      </c>
      <c r="C38" s="184"/>
      <c r="D38" s="33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(E38*E43)+(F38*F43)+(G38*G43)+(H38*H43)+(I38*I43)+(J38*J43)+(K38*K43)+(L38*L43)+(M38*M43)+(N38*N43)+(O38*O43)+(P38*P43)+(Q38*Q43)+(R38*R43)+(S38*S43)+(T38*T43)+(U38*U43)+(V38*V43)+(W38*W43)+(X38*X43)+(Y38*Y43)+(Z38*Z43)+(AA38*AA43)+(AB38*AB43)</f>
        <v>0</v>
      </c>
      <c r="AD38" s="120">
        <f t="shared" si="9"/>
        <v>0</v>
      </c>
      <c r="AE38" s="121">
        <f t="shared" si="10"/>
        <v>0</v>
      </c>
      <c r="AF38" s="121"/>
      <c r="AG38" s="121"/>
      <c r="AH38" s="121"/>
      <c r="AI38" s="121"/>
      <c r="AJ38" s="121"/>
      <c r="AK38" s="121"/>
      <c r="AL38" s="121">
        <f t="shared" si="2"/>
        <v>0</v>
      </c>
      <c r="AM38" s="120">
        <f t="shared" si="14"/>
        <v>0</v>
      </c>
      <c r="AN38" s="121">
        <f t="shared" si="14"/>
        <v>0</v>
      </c>
      <c r="AO38" s="145"/>
    </row>
    <row r="39" spans="2:41">
      <c r="B39" s="25">
        <f t="shared" si="4"/>
        <v>30</v>
      </c>
      <c r="C39" s="26"/>
      <c r="D39" s="25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102"/>
      <c r="R39" s="97"/>
      <c r="S39" s="97"/>
      <c r="T39" s="98"/>
      <c r="U39" s="99"/>
      <c r="V39" s="99"/>
      <c r="W39" s="100"/>
      <c r="X39" s="103"/>
      <c r="Y39" s="103"/>
      <c r="Z39" s="122"/>
      <c r="AA39" s="122"/>
      <c r="AB39" s="122"/>
      <c r="AC39" s="119">
        <f>(E39*E43)+(F39*F43)+(G39*G43)+(H39*H43)+(I39*I43)+(J39*J43)+(K39*K43)+(L39*L43)+(M39*M43)+(N39*N43)+(O39*O43)+(P39*P43)+(Q39*Q43)+(R39*R43)+(S39*S43)+(T39*T43)+(U39*U43)+(V39*V43)+(W39*W43)+(X39*X43)+(Y39*Y43)+(Z39*Z43)+(AA39*AA43)+(AB39*AB43)</f>
        <v>0</v>
      </c>
      <c r="AD39" s="120">
        <f t="shared" si="9"/>
        <v>0</v>
      </c>
      <c r="AE39" s="121">
        <f t="shared" si="10"/>
        <v>0</v>
      </c>
      <c r="AF39" s="135"/>
      <c r="AG39" s="135"/>
      <c r="AH39" s="135"/>
      <c r="AI39" s="135"/>
      <c r="AJ39" s="135"/>
      <c r="AK39" s="135"/>
      <c r="AL39" s="123">
        <f t="shared" si="2"/>
        <v>0</v>
      </c>
      <c r="AM39" s="130">
        <f t="shared" si="14"/>
        <v>0</v>
      </c>
      <c r="AN39" s="123">
        <f t="shared" si="14"/>
        <v>0</v>
      </c>
      <c r="AO39" s="145"/>
    </row>
    <row r="40" ht="18.95" customHeight="1" spans="2:41">
      <c r="B40" s="34" t="s">
        <v>61</v>
      </c>
      <c r="C40" s="35">
        <f>COUNTA(C10:C39)</f>
        <v>0</v>
      </c>
      <c r="D40" s="36"/>
      <c r="E40" s="37">
        <f t="shared" ref="E40:AO40" si="15">SUM(E10:E39)</f>
        <v>0</v>
      </c>
      <c r="F40" s="37">
        <f t="shared" si="15"/>
        <v>0</v>
      </c>
      <c r="G40" s="38">
        <f t="shared" si="15"/>
        <v>0</v>
      </c>
      <c r="H40" s="38">
        <f t="shared" si="15"/>
        <v>0</v>
      </c>
      <c r="I40" s="70">
        <f t="shared" si="15"/>
        <v>0</v>
      </c>
      <c r="J40" s="70">
        <f t="shared" si="15"/>
        <v>0</v>
      </c>
      <c r="K40" s="71">
        <f t="shared" si="15"/>
        <v>0</v>
      </c>
      <c r="L40" s="71">
        <f t="shared" si="15"/>
        <v>0</v>
      </c>
      <c r="M40" s="72">
        <f t="shared" si="15"/>
        <v>0</v>
      </c>
      <c r="N40" s="72">
        <f t="shared" si="15"/>
        <v>0</v>
      </c>
      <c r="O40" s="71">
        <f t="shared" si="15"/>
        <v>0</v>
      </c>
      <c r="P40" s="71">
        <f t="shared" si="15"/>
        <v>0</v>
      </c>
      <c r="Q40" s="104">
        <f t="shared" si="15"/>
        <v>0</v>
      </c>
      <c r="R40" s="105">
        <f t="shared" si="15"/>
        <v>0</v>
      </c>
      <c r="S40" s="105">
        <f t="shared" si="15"/>
        <v>0</v>
      </c>
      <c r="T40" s="106">
        <f t="shared" si="15"/>
        <v>0</v>
      </c>
      <c r="U40" s="107">
        <f t="shared" si="15"/>
        <v>0</v>
      </c>
      <c r="V40" s="107">
        <f t="shared" si="15"/>
        <v>0</v>
      </c>
      <c r="W40" s="70">
        <f t="shared" si="15"/>
        <v>0</v>
      </c>
      <c r="X40" s="71">
        <f t="shared" si="15"/>
        <v>0</v>
      </c>
      <c r="Y40" s="124">
        <f t="shared" si="15"/>
        <v>0</v>
      </c>
      <c r="Z40" s="125">
        <f t="shared" si="15"/>
        <v>0</v>
      </c>
      <c r="AA40" s="125">
        <f t="shared" si="15"/>
        <v>0</v>
      </c>
      <c r="AB40" s="125">
        <f t="shared" si="15"/>
        <v>0</v>
      </c>
      <c r="AC40" s="125">
        <f t="shared" si="15"/>
        <v>0</v>
      </c>
      <c r="AD40" s="125">
        <f t="shared" si="15"/>
        <v>0</v>
      </c>
      <c r="AE40" s="125">
        <f t="shared" si="15"/>
        <v>0</v>
      </c>
      <c r="AF40" s="125"/>
      <c r="AG40" s="125"/>
      <c r="AH40" s="125"/>
      <c r="AI40" s="125"/>
      <c r="AJ40" s="125"/>
      <c r="AK40" s="125"/>
      <c r="AL40" s="125">
        <f t="shared" si="15"/>
        <v>0</v>
      </c>
      <c r="AM40" s="125">
        <f t="shared" si="15"/>
        <v>0</v>
      </c>
      <c r="AN40" s="125">
        <f t="shared" si="15"/>
        <v>0</v>
      </c>
      <c r="AO40" s="125">
        <f t="shared" si="15"/>
        <v>0</v>
      </c>
    </row>
    <row r="42" ht="16.5" spans="5:21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6.5" spans="2:29">
      <c r="B43" s="39"/>
      <c r="C43" s="40" t="s">
        <v>62</v>
      </c>
      <c r="D43" s="40"/>
      <c r="E43" s="40">
        <v>204</v>
      </c>
      <c r="F43" s="40">
        <f>12*E43</f>
        <v>2448</v>
      </c>
      <c r="G43" s="40">
        <v>177</v>
      </c>
      <c r="H43" s="40">
        <f>G43*48</f>
        <v>8496</v>
      </c>
      <c r="I43" s="40">
        <v>204</v>
      </c>
      <c r="J43" s="40">
        <f>I43*12</f>
        <v>2448</v>
      </c>
      <c r="K43" s="40">
        <v>116</v>
      </c>
      <c r="L43" s="40">
        <f>K43*15</f>
        <v>1740</v>
      </c>
      <c r="M43" s="40">
        <v>116</v>
      </c>
      <c r="N43" s="40">
        <f>M43*6</f>
        <v>696</v>
      </c>
      <c r="O43" s="40">
        <v>272</v>
      </c>
      <c r="P43" s="40">
        <f>O43*4</f>
        <v>1088</v>
      </c>
      <c r="Q43" s="40">
        <v>1496</v>
      </c>
      <c r="R43" s="40">
        <v>272</v>
      </c>
      <c r="S43" s="40">
        <f>R43*4</f>
        <v>1088</v>
      </c>
      <c r="T43" s="40">
        <v>6800</v>
      </c>
      <c r="U43" s="40">
        <v>75</v>
      </c>
      <c r="V43" s="40">
        <f>U43*12</f>
        <v>900</v>
      </c>
      <c r="W43" s="40">
        <v>20</v>
      </c>
      <c r="X43" s="40">
        <v>68</v>
      </c>
      <c r="Y43" s="40">
        <f>X43*12</f>
        <v>816</v>
      </c>
      <c r="Z43" s="40">
        <v>1904</v>
      </c>
      <c r="AA43" s="40">
        <v>122</v>
      </c>
      <c r="AB43" s="40">
        <v>340</v>
      </c>
      <c r="AC43" s="126"/>
    </row>
  </sheetData>
  <mergeCells count="17">
    <mergeCell ref="K4:N4"/>
    <mergeCell ref="E8:F8"/>
    <mergeCell ref="G8:H8"/>
    <mergeCell ref="I8:J8"/>
    <mergeCell ref="K8:L8"/>
    <mergeCell ref="M8:N8"/>
    <mergeCell ref="O8:P8"/>
    <mergeCell ref="R8:S8"/>
    <mergeCell ref="U8:V8"/>
    <mergeCell ref="X8:Y8"/>
    <mergeCell ref="AF8:AN8"/>
    <mergeCell ref="B8:B9"/>
    <mergeCell ref="C8:C9"/>
    <mergeCell ref="D8:D9"/>
    <mergeCell ref="AC8:AC9"/>
    <mergeCell ref="AD8:AD9"/>
    <mergeCell ref="AE8:AE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945066682943"/>
  </sheetPr>
  <dimension ref="B2:AO45"/>
  <sheetViews>
    <sheetView showGridLines="0" tabSelected="1" zoomScale="86" zoomScaleNormal="86" workbookViewId="0">
      <pane xSplit="10" ySplit="10" topLeftCell="U11" activePane="bottomRight" state="frozen"/>
      <selection/>
      <selection pane="topRight"/>
      <selection pane="bottomLeft"/>
      <selection pane="bottomRight" activeCell="D12" sqref="D12:D23"/>
    </sheetView>
  </sheetViews>
  <sheetFormatPr defaultColWidth="9.14285714285714" defaultRowHeight="15.75"/>
  <cols>
    <col min="1" max="1" width="5.28571428571429" style="1" customWidth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 t="s">
        <v>200</v>
      </c>
      <c r="L5" s="133"/>
      <c r="M5" s="133"/>
      <c r="N5" s="133"/>
    </row>
    <row r="6" ht="18.95" customHeight="1" spans="3:7">
      <c r="C6" s="4" t="s">
        <v>17</v>
      </c>
      <c r="D6" s="5" t="s">
        <v>63</v>
      </c>
      <c r="E6" s="6"/>
      <c r="F6" s="6"/>
      <c r="G6" s="6"/>
    </row>
    <row r="7" ht="18.95" customHeight="1" spans="3:7">
      <c r="C7" s="7" t="s">
        <v>18</v>
      </c>
      <c r="D7" s="5" t="s">
        <v>64</v>
      </c>
      <c r="E7" s="6"/>
      <c r="F7" s="6"/>
      <c r="G7" s="6"/>
    </row>
    <row r="8" ht="18.95" customHeight="1" spans="3:7">
      <c r="C8" s="7" t="s">
        <v>19</v>
      </c>
      <c r="D8" s="5" t="s">
        <v>286</v>
      </c>
      <c r="E8" s="6"/>
      <c r="F8" s="6"/>
      <c r="G8" s="6"/>
    </row>
    <row r="9" ht="6.95" customHeight="1"/>
    <row r="10" ht="46.5" customHeight="1" spans="2:41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2"/>
    </row>
    <row r="11" ht="32.45" customHeight="1" spans="2:41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55</v>
      </c>
      <c r="AG11" s="114" t="s">
        <v>56</v>
      </c>
      <c r="AH11" s="114" t="s">
        <v>57</v>
      </c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3" t="s">
        <v>58</v>
      </c>
    </row>
    <row r="12" spans="2:41">
      <c r="B12" s="25">
        <v>1</v>
      </c>
      <c r="C12" s="26" t="s">
        <v>287</v>
      </c>
      <c r="D12" s="302" t="s">
        <v>288</v>
      </c>
      <c r="E12" s="28"/>
      <c r="F12" s="29"/>
      <c r="G12" s="30"/>
      <c r="H12" s="31"/>
      <c r="I12" s="63"/>
      <c r="J12" s="64"/>
      <c r="K12" s="65"/>
      <c r="L12" s="66"/>
      <c r="M12" s="67"/>
      <c r="N12" s="68"/>
      <c r="O12" s="66"/>
      <c r="P12" s="69"/>
      <c r="Q12" s="95"/>
      <c r="R12" s="96"/>
      <c r="S12" s="97"/>
      <c r="T12" s="98">
        <v>1</v>
      </c>
      <c r="U12" s="99"/>
      <c r="V12" s="99"/>
      <c r="W12" s="100"/>
      <c r="X12" s="101"/>
      <c r="Y12" s="101"/>
      <c r="Z12" s="118"/>
      <c r="AA12" s="118"/>
      <c r="AB12" s="118"/>
      <c r="AC12" s="119">
        <f>(E12*E45)+(F12*F45)+(G12*G45)+(H12*H45)+(I12*I45)+(J12*J45)+(K12*K45)+(L12*L45)+(M12*M45)+(N12*N45)+(O12*O45)+(P12*P45)+(Q12*Q45)+(R12*R45)+(S12*S45)+(T12*T45)+(U12*U45)+(V12*V45)+(W12*W45)+(X12*X45)+(Y12*Y45)+(Z12*Z45)+(AA12*AA45)+(AB12*AB45)</f>
        <v>6800</v>
      </c>
      <c r="AD12" s="120">
        <f t="shared" ref="AD12:AD32" si="0">10%*AC12</f>
        <v>680</v>
      </c>
      <c r="AE12" s="121">
        <f t="shared" ref="AE12:AE32" si="1">AC12-AD12</f>
        <v>6120</v>
      </c>
      <c r="AF12" s="121"/>
      <c r="AG12" s="121"/>
      <c r="AH12" s="121"/>
      <c r="AI12" s="121"/>
      <c r="AJ12" s="121"/>
      <c r="AK12" s="121"/>
      <c r="AL12" s="121">
        <f t="shared" ref="AL12:AL41" si="2">AE12/3</f>
        <v>2040</v>
      </c>
      <c r="AM12" s="120">
        <f t="shared" ref="AM12:AN27" si="3">AL12</f>
        <v>2040</v>
      </c>
      <c r="AN12" s="121">
        <f t="shared" si="3"/>
        <v>2040</v>
      </c>
      <c r="AO12" s="145">
        <f t="shared" ref="AO12:AO35" si="4">AD12+AF12+AG12+AH12+AI12+AJ12+AK12</f>
        <v>680</v>
      </c>
    </row>
    <row r="13" spans="2:41">
      <c r="B13" s="25">
        <f t="shared" ref="B13:B41" si="5">B12+1</f>
        <v>2</v>
      </c>
      <c r="C13" s="26" t="s">
        <v>289</v>
      </c>
      <c r="D13" s="27"/>
      <c r="E13" s="28"/>
      <c r="F13" s="29">
        <v>4</v>
      </c>
      <c r="G13" s="30"/>
      <c r="H13" s="31"/>
      <c r="I13" s="63"/>
      <c r="J13" s="64"/>
      <c r="K13" s="65"/>
      <c r="L13" s="66">
        <v>4</v>
      </c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(E13*E45)+(F13*F45)+(G13*G45)+(H13*H45)+(I13*I45)+(J13*J45)+(K13*K45)+(L13*L45)+(M13*M45)+(N13*N45)+(O13*O45)+(P13*P45)+(Q13*Q45)+(R13*R45)+(S13*S45)+(T13*T45)+(U13*U45)+(V13*V45)+(W13*W45)+(X13*X45)+(Y13*Y45)+(Z13*Z45)+(AA13*AA45)+(AB13*AB45)</f>
        <v>20412</v>
      </c>
      <c r="AD13" s="120">
        <f t="shared" si="0"/>
        <v>2041.2</v>
      </c>
      <c r="AE13" s="121">
        <f t="shared" si="1"/>
        <v>18370.8</v>
      </c>
      <c r="AF13" s="121"/>
      <c r="AG13" s="121"/>
      <c r="AH13" s="121"/>
      <c r="AI13" s="121"/>
      <c r="AJ13" s="121"/>
      <c r="AK13" s="121"/>
      <c r="AL13" s="121">
        <f t="shared" si="2"/>
        <v>6123.6</v>
      </c>
      <c r="AM13" s="120">
        <f t="shared" si="3"/>
        <v>6123.6</v>
      </c>
      <c r="AN13" s="121">
        <f t="shared" si="3"/>
        <v>6123.6</v>
      </c>
      <c r="AO13" s="145">
        <f t="shared" si="4"/>
        <v>2041.2</v>
      </c>
    </row>
    <row r="14" spans="2:41">
      <c r="B14" s="25">
        <f t="shared" si="5"/>
        <v>3</v>
      </c>
      <c r="C14" s="26" t="s">
        <v>290</v>
      </c>
      <c r="D14" s="27"/>
      <c r="E14" s="28">
        <v>6</v>
      </c>
      <c r="F14" s="29"/>
      <c r="G14" s="30"/>
      <c r="H14" s="31"/>
      <c r="I14" s="63">
        <v>6</v>
      </c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>
        <v>1</v>
      </c>
      <c r="U14" s="99"/>
      <c r="V14" s="99"/>
      <c r="W14" s="100"/>
      <c r="X14" s="101"/>
      <c r="Y14" s="101"/>
      <c r="Z14" s="118"/>
      <c r="AA14" s="118"/>
      <c r="AB14" s="118"/>
      <c r="AC14" s="119">
        <f>(E14*E45)+(F14*F45)+(G14*G45)+(H14*H45)+(I14*I45)+(J14*J45)+(K14*K45)+(L14*L45)+(M14*M45)+(N14*N45)+(O14*O45)+(P14*P45)+(Q14*Q45)+(R14*R45)+(S14*S45)+(T14*T45)+(U14*U45)+(V14*V45)+(W14*W45)+(X14*X45)+(Y14*Y45)+(Z14*Z45)+(AA14*AA45)+(AB14*AB45)</f>
        <v>9248</v>
      </c>
      <c r="AD14" s="120">
        <f t="shared" si="0"/>
        <v>924.8</v>
      </c>
      <c r="AE14" s="121">
        <f t="shared" si="1"/>
        <v>8323.2</v>
      </c>
      <c r="AF14" s="121"/>
      <c r="AG14" s="121"/>
      <c r="AH14" s="121"/>
      <c r="AI14" s="121"/>
      <c r="AJ14" s="121"/>
      <c r="AK14" s="121"/>
      <c r="AL14" s="121">
        <f t="shared" si="2"/>
        <v>2774.4</v>
      </c>
      <c r="AM14" s="120">
        <f t="shared" si="3"/>
        <v>2774.4</v>
      </c>
      <c r="AN14" s="121">
        <f t="shared" si="3"/>
        <v>2774.4</v>
      </c>
      <c r="AO14" s="145">
        <f t="shared" si="4"/>
        <v>924.8</v>
      </c>
    </row>
    <row r="15" spans="2:41">
      <c r="B15" s="25">
        <f t="shared" si="5"/>
        <v>4</v>
      </c>
      <c r="C15" s="26" t="s">
        <v>291</v>
      </c>
      <c r="D15" s="302" t="s">
        <v>292</v>
      </c>
      <c r="E15" s="28">
        <v>6</v>
      </c>
      <c r="F15" s="29"/>
      <c r="G15" s="30"/>
      <c r="H15" s="31"/>
      <c r="I15" s="63">
        <v>6</v>
      </c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>
        <v>1</v>
      </c>
      <c r="Z15" s="118"/>
      <c r="AA15" s="118"/>
      <c r="AB15" s="118"/>
      <c r="AC15" s="119">
        <f>(E15*E45)+(F15*F45)+(G15*G45)+(H15*H45)+(I15*I45)+(J15*J45)+(K15*K45)+(L15*L45)+(M15*M45)+(N15*N45)+(O15*O45)+(P15*P45)+(Q15*Q45)+(R15*R45)+(S15*S45)+(T15*T45)+(U15*U45)+(V15*V45)+(W15*W45)+(X15*X45)+(Y15*Y45)+(Z15*Z45)+(AA15*AA45)+(AB15*AB45)</f>
        <v>3264</v>
      </c>
      <c r="AD15" s="120">
        <f t="shared" si="0"/>
        <v>326.4</v>
      </c>
      <c r="AE15" s="121">
        <f t="shared" si="1"/>
        <v>2937.6</v>
      </c>
      <c r="AF15" s="121"/>
      <c r="AG15" s="121"/>
      <c r="AH15" s="121"/>
      <c r="AI15" s="121"/>
      <c r="AJ15" s="121"/>
      <c r="AK15" s="121"/>
      <c r="AL15" s="121">
        <f t="shared" si="2"/>
        <v>979.2</v>
      </c>
      <c r="AM15" s="120">
        <f t="shared" si="3"/>
        <v>979.2</v>
      </c>
      <c r="AN15" s="121">
        <f t="shared" si="3"/>
        <v>979.2</v>
      </c>
      <c r="AO15" s="145">
        <f t="shared" si="4"/>
        <v>326.4</v>
      </c>
    </row>
    <row r="16" spans="2:41">
      <c r="B16" s="25">
        <f t="shared" si="5"/>
        <v>5</v>
      </c>
      <c r="C16" s="26" t="s">
        <v>293</v>
      </c>
      <c r="D16" s="302" t="s">
        <v>294</v>
      </c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>
        <v>2</v>
      </c>
      <c r="W16" s="100"/>
      <c r="X16" s="101"/>
      <c r="Y16" s="101"/>
      <c r="Z16" s="118"/>
      <c r="AA16" s="118"/>
      <c r="AB16" s="118"/>
      <c r="AC16" s="119">
        <f>(E16*E45)+(F16*F45)+(G16*G45)+(H16*H45)+(I16*I45)+(J16*J49)+(K16*K45)+(L16*L45)+(M16*M45)+(N16*N45)+(O16*O45)+(P16*P45)+(Q16*Q45)+(R16*R45)+(S16*S45)+(T16*T45)+(U16*U45)+(V16*V45)+(W16*W45)+(X16*X45)+(Y16*Y45)+(Z16*Z45)+(AA16*AA45)+(AB16*AB45)</f>
        <v>1800</v>
      </c>
      <c r="AD16" s="120">
        <f t="shared" si="0"/>
        <v>180</v>
      </c>
      <c r="AE16" s="121">
        <f t="shared" si="1"/>
        <v>1620</v>
      </c>
      <c r="AF16" s="121"/>
      <c r="AG16" s="121"/>
      <c r="AH16" s="121"/>
      <c r="AI16" s="121"/>
      <c r="AJ16" s="121"/>
      <c r="AK16" s="121"/>
      <c r="AL16" s="121">
        <f t="shared" si="2"/>
        <v>540</v>
      </c>
      <c r="AM16" s="120">
        <f t="shared" si="3"/>
        <v>540</v>
      </c>
      <c r="AN16" s="121">
        <f t="shared" si="3"/>
        <v>540</v>
      </c>
      <c r="AO16" s="145">
        <f t="shared" si="4"/>
        <v>180</v>
      </c>
    </row>
    <row r="17" spans="2:41">
      <c r="B17" s="25">
        <f t="shared" si="5"/>
        <v>6</v>
      </c>
      <c r="C17" s="26" t="s">
        <v>295</v>
      </c>
      <c r="D17" s="27"/>
      <c r="E17" s="28">
        <v>6</v>
      </c>
      <c r="F17" s="29"/>
      <c r="G17" s="30"/>
      <c r="H17" s="31"/>
      <c r="I17" s="63">
        <v>6</v>
      </c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(E17*E45)+(F17*F45)+(G17*G45)+(H17*H45)+(I17*I45)+(J17*J45)+(K17*K45)+(L17*L45)+(M17*M45)+(N17*N45)+(O17*O45)+(P17*P45)+(Q17*Q45)+(R17*R45)+(S17*S45)+(T17*T45)+(U17*U45)+(V17*V45)+(W17*W45)+(X17*X45)+(Y17*Y45)+(Z17*Z45)+(AA17*AA45)+(AB17*AB45)</f>
        <v>2448</v>
      </c>
      <c r="AD17" s="120">
        <f t="shared" si="0"/>
        <v>244.8</v>
      </c>
      <c r="AE17" s="121">
        <f t="shared" si="1"/>
        <v>2203.2</v>
      </c>
      <c r="AF17" s="121"/>
      <c r="AG17" s="121"/>
      <c r="AH17" s="121"/>
      <c r="AI17" s="121"/>
      <c r="AJ17" s="121"/>
      <c r="AK17" s="121"/>
      <c r="AL17" s="121">
        <f t="shared" si="2"/>
        <v>734.4</v>
      </c>
      <c r="AM17" s="120">
        <f>AL17</f>
        <v>734.4</v>
      </c>
      <c r="AN17" s="121">
        <f t="shared" si="3"/>
        <v>734.4</v>
      </c>
      <c r="AO17" s="145">
        <f t="shared" si="4"/>
        <v>244.8</v>
      </c>
    </row>
    <row r="18" spans="2:41">
      <c r="B18" s="25">
        <f t="shared" si="5"/>
        <v>7</v>
      </c>
      <c r="C18" s="26" t="s">
        <v>296</v>
      </c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>
        <v>6</v>
      </c>
      <c r="V18" s="99"/>
      <c r="W18" s="100"/>
      <c r="X18" s="101"/>
      <c r="Y18" s="101"/>
      <c r="Z18" s="118"/>
      <c r="AA18" s="118"/>
      <c r="AB18" s="118"/>
      <c r="AC18" s="119">
        <f>(E18*E45)+(F18*F45)+(G18*G45)+(H18*H45)+(I18*I45)+(J18*J45)+(K18*K45)+(L18*L45)+(M18*M45)+(N18*N45)+(O18*O45)+(P18*P45)+(Q18*Q45)+(R18*R45)+(S18*S45)+(T18*T45)+(U18*U45)+(V18*V45)+(W18*W45)+(X18*X45)+(Y18*Y45)+(Z18*Z45)+(AA18*AA45)+(AB18*AB45)</f>
        <v>450</v>
      </c>
      <c r="AD18" s="120">
        <f t="shared" si="0"/>
        <v>45</v>
      </c>
      <c r="AE18" s="121">
        <f t="shared" si="1"/>
        <v>405</v>
      </c>
      <c r="AF18" s="121"/>
      <c r="AG18" s="121"/>
      <c r="AH18" s="121"/>
      <c r="AI18" s="121"/>
      <c r="AJ18" s="121"/>
      <c r="AK18" s="121"/>
      <c r="AL18" s="121">
        <f t="shared" si="2"/>
        <v>135</v>
      </c>
      <c r="AM18" s="120">
        <f t="shared" si="3"/>
        <v>135</v>
      </c>
      <c r="AN18" s="121">
        <f t="shared" si="3"/>
        <v>135</v>
      </c>
      <c r="AO18" s="145">
        <f t="shared" si="4"/>
        <v>45</v>
      </c>
    </row>
    <row r="19" spans="2:41">
      <c r="B19" s="25">
        <f t="shared" si="5"/>
        <v>8</v>
      </c>
      <c r="C19" s="26" t="s">
        <v>297</v>
      </c>
      <c r="D19" s="302" t="s">
        <v>298</v>
      </c>
      <c r="E19" s="28">
        <v>4</v>
      </c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(E19*E45)+(F19*F45)+(G19*G45)+(H19*H45)+(I19*I45)+(J19*J45)+(K19*K45)+(L19*L45)+(M19*M45)+(N19*N45)+(O19*O45)+(P19*P45)+(Q19*Q45)+(R19*R45)+(S19*S45)+(T19*T45)+(U19*U45)+(V19*V45)+(W19*W45)+(X19*X45)+(Y19*Y45)+(Z19*Z45)+(AA19*AA45)+(AB19*AB45)</f>
        <v>816</v>
      </c>
      <c r="AD19" s="120">
        <f t="shared" si="0"/>
        <v>81.6</v>
      </c>
      <c r="AE19" s="121">
        <f t="shared" si="1"/>
        <v>734.4</v>
      </c>
      <c r="AF19" s="121"/>
      <c r="AG19" s="121"/>
      <c r="AH19" s="121"/>
      <c r="AI19" s="121"/>
      <c r="AJ19" s="121"/>
      <c r="AK19" s="121"/>
      <c r="AL19" s="121">
        <f t="shared" si="2"/>
        <v>244.8</v>
      </c>
      <c r="AM19" s="120">
        <f t="shared" si="3"/>
        <v>244.8</v>
      </c>
      <c r="AN19" s="121">
        <f t="shared" si="3"/>
        <v>244.8</v>
      </c>
      <c r="AO19" s="145">
        <f t="shared" si="4"/>
        <v>81.6</v>
      </c>
    </row>
    <row r="20" spans="2:41">
      <c r="B20" s="25">
        <f t="shared" si="5"/>
        <v>9</v>
      </c>
      <c r="C20" s="26" t="s">
        <v>299</v>
      </c>
      <c r="D20" s="302" t="s">
        <v>300</v>
      </c>
      <c r="E20" s="28"/>
      <c r="F20" s="29">
        <v>1</v>
      </c>
      <c r="G20" s="30"/>
      <c r="H20" s="31"/>
      <c r="I20" s="63"/>
      <c r="J20" s="64">
        <v>1</v>
      </c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>
        <v>1</v>
      </c>
      <c r="W20" s="100"/>
      <c r="X20" s="101"/>
      <c r="Y20" s="101"/>
      <c r="Z20" s="118"/>
      <c r="AA20" s="118"/>
      <c r="AB20" s="118"/>
      <c r="AC20" s="119">
        <f>(E20*E45)+(F20*F45)+(G20*G45)+(H20*H45)+(I20*I45)+(J20*J45)+(K20*K45)+(L20*L45)+(M20*M45)+(N20*N45)+(O20*O45)+(P20*P45)+(Q20*Q45)+(R20*R45)+(S20*S45)+(T20*T45)+(U20*U45)+(V20*V45)+(W20*W45)+(X20*X45)+(Y20*Y45)+(Z20*Z45)+(AA20*AA45)+(AB20*AB45)</f>
        <v>3688</v>
      </c>
      <c r="AD20" s="120">
        <f t="shared" si="0"/>
        <v>368.8</v>
      </c>
      <c r="AE20" s="121">
        <f t="shared" si="1"/>
        <v>3319.2</v>
      </c>
      <c r="AF20" s="121"/>
      <c r="AG20" s="121"/>
      <c r="AH20" s="121"/>
      <c r="AI20" s="121"/>
      <c r="AJ20" s="121"/>
      <c r="AK20" s="121"/>
      <c r="AL20" s="121">
        <f t="shared" si="2"/>
        <v>1106.4</v>
      </c>
      <c r="AM20" s="120">
        <f t="shared" si="3"/>
        <v>1106.4</v>
      </c>
      <c r="AN20" s="121">
        <f t="shared" si="3"/>
        <v>1106.4</v>
      </c>
      <c r="AO20" s="145">
        <f t="shared" si="4"/>
        <v>368.8</v>
      </c>
    </row>
    <row r="21" spans="2:41">
      <c r="B21" s="25">
        <f t="shared" si="5"/>
        <v>10</v>
      </c>
      <c r="C21" s="26" t="s">
        <v>301</v>
      </c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>
        <v>1</v>
      </c>
      <c r="U21" s="99"/>
      <c r="V21" s="99"/>
      <c r="W21" s="100"/>
      <c r="X21" s="101"/>
      <c r="Y21" s="101"/>
      <c r="Z21" s="118"/>
      <c r="AA21" s="118"/>
      <c r="AB21" s="118"/>
      <c r="AC21" s="119">
        <f>(E21*E45)+(F21*F45)+(G21*G45)+(H21*H45)+(I21*I45)+(J21*J45)+(K21*K45)+(L21*L45)+(M21*M45)+(N21*N45)+(O21*O45)+(P21*P45)+(Q21*Q45)+(R21*R45)+(S21*S45)+(T21*T45)+(U21*U45)+(V21*V45)+(W21*W45)+(X21*X45)+(Y21*Y45)+(Z21*Z45)+(AA21*AA45)+(AB21*AB45)</f>
        <v>6800</v>
      </c>
      <c r="AD21" s="120">
        <f t="shared" si="0"/>
        <v>680</v>
      </c>
      <c r="AE21" s="121">
        <f t="shared" si="1"/>
        <v>6120</v>
      </c>
      <c r="AF21" s="121"/>
      <c r="AG21" s="121"/>
      <c r="AH21" s="121"/>
      <c r="AI21" s="121"/>
      <c r="AJ21" s="121"/>
      <c r="AK21" s="121"/>
      <c r="AL21" s="121">
        <f t="shared" si="2"/>
        <v>2040</v>
      </c>
      <c r="AM21" s="120">
        <f t="shared" si="3"/>
        <v>2040</v>
      </c>
      <c r="AN21" s="121">
        <f t="shared" si="3"/>
        <v>2040</v>
      </c>
      <c r="AO21" s="145">
        <f t="shared" si="4"/>
        <v>680</v>
      </c>
    </row>
    <row r="22" spans="2:41">
      <c r="B22" s="25">
        <f t="shared" si="5"/>
        <v>11</v>
      </c>
      <c r="C22" s="32" t="s">
        <v>302</v>
      </c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>
        <v>1</v>
      </c>
      <c r="U22" s="99"/>
      <c r="V22" s="99"/>
      <c r="W22" s="100"/>
      <c r="X22" s="101"/>
      <c r="Y22" s="101"/>
      <c r="Z22" s="118"/>
      <c r="AA22" s="118"/>
      <c r="AB22" s="118"/>
      <c r="AC22" s="119">
        <f>(E22*E45)+(F22*F45)+(G22*G45)+(H22*H45)+(I22*I45)+(J22*J45)+(K22*K45)+(L22*L45)+(M22*M45)+(N22*N45)+(O22*O45)+(P22*P45)+(Q22*Q45)+(R22*R45)+(S22*S45)+(T22*T45)+(U22*U45)+(V22*V45)+(W22*W45)+(X22*X45)+(Y22*Y45)+(Z22*Z45)+(AA22*AA45)+(AB22*AB45)</f>
        <v>6800</v>
      </c>
      <c r="AD22" s="120">
        <f t="shared" si="0"/>
        <v>680</v>
      </c>
      <c r="AE22" s="121">
        <f t="shared" si="1"/>
        <v>6120</v>
      </c>
      <c r="AF22" s="121"/>
      <c r="AG22" s="121"/>
      <c r="AH22" s="121"/>
      <c r="AI22" s="121"/>
      <c r="AJ22" s="121"/>
      <c r="AK22" s="121"/>
      <c r="AL22" s="121">
        <f t="shared" si="2"/>
        <v>2040</v>
      </c>
      <c r="AM22" s="120">
        <f t="shared" si="3"/>
        <v>2040</v>
      </c>
      <c r="AN22" s="121">
        <f t="shared" si="3"/>
        <v>2040</v>
      </c>
      <c r="AO22" s="145">
        <f t="shared" si="4"/>
        <v>680</v>
      </c>
    </row>
    <row r="23" spans="2:41">
      <c r="B23" s="25">
        <f t="shared" si="5"/>
        <v>12</v>
      </c>
      <c r="C23" s="32" t="s">
        <v>303</v>
      </c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>
        <v>1</v>
      </c>
      <c r="U23" s="99"/>
      <c r="V23" s="99"/>
      <c r="W23" s="100"/>
      <c r="X23" s="101"/>
      <c r="Y23" s="101"/>
      <c r="Z23" s="118"/>
      <c r="AA23" s="118"/>
      <c r="AB23" s="118"/>
      <c r="AC23" s="119">
        <f>(E23*E45)+(F23*F45)+(G23*G45)+(H23*H45)+(I23*I45)+(J23*J45)+(K23*K45)+(L23*L45)+(M23*M45)+(N23*N45)+(O23*O45)+(P23*P45)+(Q23*Q45)+(R23*R45)+(S23*S45)+(T23*T45)+(U23*U45)+(V23*V45)+(W23*W45)+(X23*X45)+(Y23*Y45)+(Z23*Z45)+(AA23*AA45)+(AB23*AB45)</f>
        <v>6800</v>
      </c>
      <c r="AD23" s="120">
        <f t="shared" si="0"/>
        <v>680</v>
      </c>
      <c r="AE23" s="121">
        <f t="shared" si="1"/>
        <v>6120</v>
      </c>
      <c r="AF23" s="121"/>
      <c r="AG23" s="121"/>
      <c r="AH23" s="121"/>
      <c r="AI23" s="121"/>
      <c r="AJ23" s="121"/>
      <c r="AK23" s="121"/>
      <c r="AL23" s="121">
        <f t="shared" si="2"/>
        <v>2040</v>
      </c>
      <c r="AM23" s="120">
        <f t="shared" si="3"/>
        <v>2040</v>
      </c>
      <c r="AN23" s="121">
        <f t="shared" si="3"/>
        <v>2040</v>
      </c>
      <c r="AO23" s="145">
        <f t="shared" si="4"/>
        <v>680</v>
      </c>
    </row>
    <row r="24" spans="2:41">
      <c r="B24" s="25">
        <f t="shared" si="5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(E24*E45)+(F24*F45)+(G24*G45)+(H24*H45)+(I24*I45)+(J24*J45)+(K24*J45)+(L24*L45)+(M24*M45)+(N24*N45)+(O24*O45)+(P24*P45)+(Q24*Q45)+(R24*R45)+(S24*S45)+(T24*T45)+(U24*U45)+(V24*V45)+(W24*W45)+(X24*X45)+(Y24*Y45)+(Z24*Z45)+(AA24*AA45)+(AB24*AB45)</f>
        <v>0</v>
      </c>
      <c r="AD24" s="120">
        <f t="shared" si="0"/>
        <v>0</v>
      </c>
      <c r="AE24" s="121">
        <f t="shared" si="1"/>
        <v>0</v>
      </c>
      <c r="AF24" s="121"/>
      <c r="AG24" s="121"/>
      <c r="AH24" s="121"/>
      <c r="AI24" s="121"/>
      <c r="AJ24" s="121"/>
      <c r="AK24" s="121"/>
      <c r="AL24" s="121">
        <f t="shared" si="2"/>
        <v>0</v>
      </c>
      <c r="AM24" s="120">
        <f t="shared" si="3"/>
        <v>0</v>
      </c>
      <c r="AN24" s="121">
        <f t="shared" si="3"/>
        <v>0</v>
      </c>
      <c r="AO24" s="145">
        <f t="shared" si="4"/>
        <v>0</v>
      </c>
    </row>
    <row r="25" spans="2:41">
      <c r="B25" s="25">
        <f t="shared" si="5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(E25*E45)+(F25*F45)+(G25*G45)+(H25*H45)+(I25*I45)+(J25*J45)+(K25*K45)+(L25*L45)+(M25*M45)+(N25*N45)+(O25*O45)+(P25*P45)+(Q25*Q45)+(R25*R45)+(S25*S45)+(T25*T45)+(U25*U45)+(V25*V45)+(W25*W45)+(X25*X45)+(Y25*Y45)+(Z25*Z45)+(AA25*AA45)+(AB25*AB45)</f>
        <v>0</v>
      </c>
      <c r="AD25" s="120">
        <f t="shared" si="0"/>
        <v>0</v>
      </c>
      <c r="AE25" s="121">
        <f t="shared" si="1"/>
        <v>0</v>
      </c>
      <c r="AF25" s="121"/>
      <c r="AG25" s="121"/>
      <c r="AH25" s="121"/>
      <c r="AI25" s="121"/>
      <c r="AJ25" s="121"/>
      <c r="AK25" s="121"/>
      <c r="AL25" s="121">
        <f t="shared" si="2"/>
        <v>0</v>
      </c>
      <c r="AM25" s="120">
        <f t="shared" si="3"/>
        <v>0</v>
      </c>
      <c r="AN25" s="121">
        <f t="shared" si="3"/>
        <v>0</v>
      </c>
      <c r="AO25" s="145">
        <f t="shared" si="4"/>
        <v>0</v>
      </c>
    </row>
    <row r="26" spans="2:41">
      <c r="B26" s="25">
        <f t="shared" si="5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(E26*E45)+(F26*F45)+(G26*G45)+(H26*H45)+(I26*I45)+(J26*J45)+(K26*K45)+(L26*L45)+(M26*M45)+(N26*N45)+(O26*O45)+(P26*P45)+(Q26*Q45)+(R26*R45)+(S26*S45)+(T26*T45)+(U26*U45)+(V26*V45)+(W26*W45)+(X26*X45)+(Y26*Y45)+(Z26*Z45)+(AA26*AA45)+(AB26*AB45)</f>
        <v>0</v>
      </c>
      <c r="AD26" s="120">
        <f t="shared" si="0"/>
        <v>0</v>
      </c>
      <c r="AE26" s="121">
        <f t="shared" si="1"/>
        <v>0</v>
      </c>
      <c r="AF26" s="121"/>
      <c r="AG26" s="121"/>
      <c r="AH26" s="121"/>
      <c r="AI26" s="121"/>
      <c r="AJ26" s="121"/>
      <c r="AK26" s="121"/>
      <c r="AL26" s="121">
        <f t="shared" si="2"/>
        <v>0</v>
      </c>
      <c r="AM26" s="120">
        <f t="shared" si="3"/>
        <v>0</v>
      </c>
      <c r="AN26" s="121">
        <f t="shared" si="3"/>
        <v>0</v>
      </c>
      <c r="AO26" s="145">
        <f t="shared" si="4"/>
        <v>0</v>
      </c>
    </row>
    <row r="27" spans="2:41">
      <c r="B27" s="25">
        <f t="shared" si="5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(E27*E45)+(F27*F45)+(G27*G45)+(H27*H45)+(I27*I45)+(J27*J45)+(K27*J45)+(L27*L45)+(M27*M45)+(N27*N45)+(O27*O45)+(P27*P45)+(Q27*Q45)+(R27*R45)+(S27*S45)+(T27*T45)+(U27*U45)+(V27*V45)+(W27*W45)+(X27*X45)+(Y27*Y45)+(Z27*Z45)+(AA27*AA45)+(AB27*AB45)</f>
        <v>0</v>
      </c>
      <c r="AD27" s="120">
        <f t="shared" si="0"/>
        <v>0</v>
      </c>
      <c r="AE27" s="121">
        <f t="shared" si="1"/>
        <v>0</v>
      </c>
      <c r="AF27" s="121"/>
      <c r="AG27" s="121"/>
      <c r="AH27" s="121"/>
      <c r="AI27" s="121"/>
      <c r="AJ27" s="121"/>
      <c r="AK27" s="121"/>
      <c r="AL27" s="121">
        <f t="shared" si="2"/>
        <v>0</v>
      </c>
      <c r="AM27" s="120">
        <f t="shared" si="3"/>
        <v>0</v>
      </c>
      <c r="AN27" s="121">
        <f t="shared" si="3"/>
        <v>0</v>
      </c>
      <c r="AO27" s="145">
        <f t="shared" si="4"/>
        <v>0</v>
      </c>
    </row>
    <row r="28" spans="2:41">
      <c r="B28" s="25">
        <f t="shared" si="5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(E28*E45)+(F28*F45)+(G28*G45)+(H28*H45)+(I28*I45)+(J28*J45)+(K28*K45)+(L28*L45)+(M28*M45)+(N28*N45)+(O28*O45)+(P28*P45)+(Q28*Q45)+(R28*R45)+(S28*S45)+(T28*T45)+(U28*U45)+(V28*V45)+(W28*W45)+(X28*X45)+(Y28*Y45)+(Z28*Z45)+(AA28*AA45)+(AB28*AB45)</f>
        <v>0</v>
      </c>
      <c r="AD28" s="120">
        <f t="shared" si="0"/>
        <v>0</v>
      </c>
      <c r="AE28" s="121">
        <f t="shared" si="1"/>
        <v>0</v>
      </c>
      <c r="AF28" s="121"/>
      <c r="AG28" s="121"/>
      <c r="AH28" s="121"/>
      <c r="AI28" s="121"/>
      <c r="AJ28" s="121"/>
      <c r="AK28" s="121"/>
      <c r="AL28" s="121">
        <f t="shared" si="2"/>
        <v>0</v>
      </c>
      <c r="AM28" s="120">
        <f t="shared" ref="AM28:AN41" si="6">AL28</f>
        <v>0</v>
      </c>
      <c r="AN28" s="121">
        <f t="shared" si="6"/>
        <v>0</v>
      </c>
      <c r="AO28" s="145">
        <f t="shared" si="4"/>
        <v>0</v>
      </c>
    </row>
    <row r="29" spans="2:41">
      <c r="B29" s="25">
        <f t="shared" si="5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(E29*E45)+(F29*F45)+(G29*G45)+(H29*H45)+(I29*I45)+(J29*J45)+(K29*K45)+(L29*L45)+(M29*M45)+(N29*N45)+(O29*O45)+(P29*P45)+(Q29*Q45)+(R29*R45)+(S29*S45)+(T29*T45)+(U29*U45)+(V29*V45)+(W29*W45)+(X29*X45)+(Y29*Y45)+(Z29*Z45)+(AA29*AA45)+(AB29*AB45)</f>
        <v>0</v>
      </c>
      <c r="AD29" s="120">
        <f t="shared" si="0"/>
        <v>0</v>
      </c>
      <c r="AE29" s="121">
        <f t="shared" si="1"/>
        <v>0</v>
      </c>
      <c r="AF29" s="121"/>
      <c r="AG29" s="121"/>
      <c r="AH29" s="121"/>
      <c r="AI29" s="121"/>
      <c r="AJ29" s="121"/>
      <c r="AK29" s="121"/>
      <c r="AL29" s="121">
        <f t="shared" si="2"/>
        <v>0</v>
      </c>
      <c r="AM29" s="120">
        <f t="shared" si="6"/>
        <v>0</v>
      </c>
      <c r="AN29" s="121">
        <f t="shared" si="6"/>
        <v>0</v>
      </c>
      <c r="AO29" s="145">
        <f t="shared" si="4"/>
        <v>0</v>
      </c>
    </row>
    <row r="30" spans="2:41">
      <c r="B30" s="25">
        <f t="shared" si="5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(E30*E45)+(F30*F45)+(G30*G45)+(H30*H45)+(I30*I45)+(J30*J45)+(K30*J45)+(L30*L45)+(M30*M45)+(N30*N45)+(O30*O45)+(P30*P45)+(Q30*Q45)+(R30*R45)+(S30*S45)+(T30*T45)+(U30*U45)+(V30*V45)+(W30*W45)+(X30*X45)+(Y30*Y45)+(Z30*Z45)+(AA30*AA45)+(AB30*AB45)</f>
        <v>0</v>
      </c>
      <c r="AD30" s="120">
        <f t="shared" si="0"/>
        <v>0</v>
      </c>
      <c r="AE30" s="121">
        <f t="shared" si="1"/>
        <v>0</v>
      </c>
      <c r="AF30" s="121"/>
      <c r="AG30" s="121"/>
      <c r="AH30" s="121"/>
      <c r="AI30" s="121"/>
      <c r="AJ30" s="121"/>
      <c r="AK30" s="121"/>
      <c r="AL30" s="121">
        <f t="shared" si="2"/>
        <v>0</v>
      </c>
      <c r="AM30" s="120">
        <f t="shared" si="6"/>
        <v>0</v>
      </c>
      <c r="AN30" s="121">
        <f t="shared" si="6"/>
        <v>0</v>
      </c>
      <c r="AO30" s="145">
        <f t="shared" si="4"/>
        <v>0</v>
      </c>
    </row>
    <row r="31" spans="2:41">
      <c r="B31" s="25">
        <f t="shared" si="5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(E31*E45)+(F31*F45)+(G31*G45)+(H31*H45)+(I31*I45)+(J31*J45)+(K31*K45)+(L31*L45)+(M31*M45)+(N31*N45)+(O31*O45)+(P31*P45)+(Q31*Q45)+(R31*R45)+(S31*S45)+(T31*T45)+(U31*U45)+(V31*V45)+(W31*W45)+(X31*X45)+(Y31*Y45)+(Z31*Z45)+(AA31*AA45)+(AB31*AB45)</f>
        <v>0</v>
      </c>
      <c r="AD31" s="120">
        <f t="shared" si="0"/>
        <v>0</v>
      </c>
      <c r="AE31" s="121">
        <f t="shared" si="1"/>
        <v>0</v>
      </c>
      <c r="AF31" s="121"/>
      <c r="AG31" s="121"/>
      <c r="AH31" s="121"/>
      <c r="AI31" s="121"/>
      <c r="AJ31" s="121"/>
      <c r="AK31" s="121"/>
      <c r="AL31" s="121">
        <f t="shared" si="2"/>
        <v>0</v>
      </c>
      <c r="AM31" s="120">
        <f t="shared" si="6"/>
        <v>0</v>
      </c>
      <c r="AN31" s="121">
        <f t="shared" si="6"/>
        <v>0</v>
      </c>
      <c r="AO31" s="145">
        <f t="shared" si="4"/>
        <v>0</v>
      </c>
    </row>
    <row r="32" spans="2:41">
      <c r="B32" s="25">
        <f t="shared" si="5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(E32*E45)+(F32*F45)+(G32*G45)+(H32*H45)+(I32*I45)+(J32*J45)+(K32*K45)+(L32*L45)+(M32*M45)+(N32*N45)+(O32*O45)+(P32*P45)+(Q32*Q45)+(R32*R45)+(S32*S45)+(T32*T45)+(U32*U45)+(V32*V45)+(W32*W45)+(X32*X45)+(Y32*Y45)+(Z32*Z45)+(AA32*AA45)+(AB32*AB45)</f>
        <v>0</v>
      </c>
      <c r="AD32" s="120">
        <f t="shared" si="0"/>
        <v>0</v>
      </c>
      <c r="AE32" s="121">
        <f t="shared" si="1"/>
        <v>0</v>
      </c>
      <c r="AF32" s="121"/>
      <c r="AG32" s="121"/>
      <c r="AH32" s="121"/>
      <c r="AI32" s="121"/>
      <c r="AJ32" s="121"/>
      <c r="AK32" s="121"/>
      <c r="AL32" s="121">
        <f t="shared" si="2"/>
        <v>0</v>
      </c>
      <c r="AM32" s="120">
        <f t="shared" si="6"/>
        <v>0</v>
      </c>
      <c r="AN32" s="121">
        <f t="shared" si="6"/>
        <v>0</v>
      </c>
      <c r="AO32" s="145">
        <f t="shared" si="4"/>
        <v>0</v>
      </c>
    </row>
    <row r="33" spans="2:41">
      <c r="B33" s="25">
        <f t="shared" si="5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 t="shared" ref="AC33:AC37" si="7"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ref="AD33:AD37" si="8">10%*AC33</f>
        <v>0</v>
      </c>
      <c r="AE33" s="121">
        <f t="shared" ref="AE33:AE37" si="9">AC33-AD33</f>
        <v>0</v>
      </c>
      <c r="AF33" s="121"/>
      <c r="AG33" s="121"/>
      <c r="AH33" s="121"/>
      <c r="AI33" s="121"/>
      <c r="AJ33" s="121"/>
      <c r="AK33" s="121"/>
      <c r="AL33" s="121">
        <f t="shared" si="2"/>
        <v>0</v>
      </c>
      <c r="AM33" s="120">
        <f t="shared" si="6"/>
        <v>0</v>
      </c>
      <c r="AN33" s="121">
        <f t="shared" si="6"/>
        <v>0</v>
      </c>
      <c r="AO33" s="145">
        <f t="shared" si="4"/>
        <v>0</v>
      </c>
    </row>
    <row r="34" spans="2:41">
      <c r="B34" s="25">
        <f t="shared" si="5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 t="shared" si="7"/>
        <v>0</v>
      </c>
      <c r="AD34" s="120">
        <f t="shared" si="8"/>
        <v>0</v>
      </c>
      <c r="AE34" s="121">
        <f t="shared" si="9"/>
        <v>0</v>
      </c>
      <c r="AF34" s="121"/>
      <c r="AG34" s="121"/>
      <c r="AH34" s="121"/>
      <c r="AI34" s="121"/>
      <c r="AJ34" s="121"/>
      <c r="AK34" s="121"/>
      <c r="AL34" s="121">
        <f t="shared" si="2"/>
        <v>0</v>
      </c>
      <c r="AM34" s="120">
        <f t="shared" si="6"/>
        <v>0</v>
      </c>
      <c r="AN34" s="121">
        <f t="shared" si="6"/>
        <v>0</v>
      </c>
      <c r="AO34" s="145">
        <f t="shared" si="4"/>
        <v>0</v>
      </c>
    </row>
    <row r="35" s="2" customFormat="1" spans="2:41">
      <c r="B35" s="158">
        <f t="shared" si="5"/>
        <v>24</v>
      </c>
      <c r="C35" s="32"/>
      <c r="D35" s="27"/>
      <c r="E35" s="159"/>
      <c r="F35" s="160"/>
      <c r="G35" s="161"/>
      <c r="H35" s="162"/>
      <c r="I35" s="163"/>
      <c r="J35" s="164"/>
      <c r="K35" s="165"/>
      <c r="L35" s="166"/>
      <c r="M35" s="167"/>
      <c r="N35" s="168"/>
      <c r="O35" s="166"/>
      <c r="P35" s="169"/>
      <c r="Q35" s="170"/>
      <c r="R35" s="171"/>
      <c r="S35" s="172"/>
      <c r="T35" s="173"/>
      <c r="U35" s="174"/>
      <c r="V35" s="174"/>
      <c r="W35" s="175"/>
      <c r="X35" s="176"/>
      <c r="Y35" s="176"/>
      <c r="Z35" s="177"/>
      <c r="AA35" s="177"/>
      <c r="AB35" s="177"/>
      <c r="AC35" s="119">
        <f t="shared" si="7"/>
        <v>0</v>
      </c>
      <c r="AD35" s="120">
        <f t="shared" si="8"/>
        <v>0</v>
      </c>
      <c r="AE35" s="121">
        <f t="shared" si="9"/>
        <v>0</v>
      </c>
      <c r="AF35" s="121"/>
      <c r="AG35" s="179"/>
      <c r="AH35" s="179"/>
      <c r="AI35" s="179"/>
      <c r="AJ35" s="179"/>
      <c r="AK35" s="179"/>
      <c r="AL35" s="179">
        <f t="shared" si="2"/>
        <v>0</v>
      </c>
      <c r="AM35" s="180">
        <f t="shared" si="6"/>
        <v>0</v>
      </c>
      <c r="AN35" s="179">
        <f t="shared" si="6"/>
        <v>0</v>
      </c>
      <c r="AO35" s="145">
        <f t="shared" si="4"/>
        <v>0</v>
      </c>
    </row>
    <row r="36" spans="2:41">
      <c r="B36" s="25">
        <f t="shared" si="5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 t="shared" si="7"/>
        <v>0</v>
      </c>
      <c r="AD36" s="120">
        <f t="shared" si="8"/>
        <v>0</v>
      </c>
      <c r="AE36" s="121">
        <f t="shared" si="9"/>
        <v>0</v>
      </c>
      <c r="AF36" s="121"/>
      <c r="AG36" s="121"/>
      <c r="AH36" s="121"/>
      <c r="AI36" s="121"/>
      <c r="AJ36" s="121"/>
      <c r="AK36" s="121"/>
      <c r="AL36" s="121">
        <f t="shared" si="2"/>
        <v>0</v>
      </c>
      <c r="AM36" s="120">
        <f t="shared" si="6"/>
        <v>0</v>
      </c>
      <c r="AN36" s="121">
        <f t="shared" si="6"/>
        <v>0</v>
      </c>
      <c r="AO36" s="145"/>
    </row>
    <row r="37" spans="2:41">
      <c r="B37" s="25">
        <f t="shared" si="5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 t="shared" si="7"/>
        <v>0</v>
      </c>
      <c r="AD37" s="120">
        <f t="shared" si="8"/>
        <v>0</v>
      </c>
      <c r="AE37" s="121">
        <f t="shared" si="9"/>
        <v>0</v>
      </c>
      <c r="AF37" s="121"/>
      <c r="AG37" s="121"/>
      <c r="AH37" s="121"/>
      <c r="AI37" s="121"/>
      <c r="AJ37" s="121"/>
      <c r="AK37" s="121"/>
      <c r="AL37" s="121">
        <f t="shared" si="2"/>
        <v>0</v>
      </c>
      <c r="AM37" s="120">
        <f t="shared" si="6"/>
        <v>0</v>
      </c>
      <c r="AN37" s="121">
        <f t="shared" si="6"/>
        <v>0</v>
      </c>
      <c r="AO37" s="145"/>
    </row>
    <row r="38" spans="2:41">
      <c r="B38" s="25">
        <f t="shared" si="5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 t="shared" ref="AC38:AC41" si="10">(E38*E51)+(F38*F51)+(G38*G51)+(H38*H51)+(I38*I51)+(J38*J51)+(K38*K51)+(L38*L51)+(M38*M51)+(N38*N51)+(O38*O51)+(P38*P51)+(Q38*Q51)+(R38*R51)+(S38*S51)+(T38*T51)+(U38*U51)+(V38*V51)+(W38*W51)+(X38*X51)+(Y38*Y51)+(Z38*Z51)+(AA38*AA51)+(AB38*AB51)</f>
        <v>0</v>
      </c>
      <c r="AD38" s="120">
        <f t="shared" ref="AD38:AD41" si="11">10%*AC38</f>
        <v>0</v>
      </c>
      <c r="AE38" s="121">
        <f t="shared" ref="AE38:AE41" si="12">AC38-AD38</f>
        <v>0</v>
      </c>
      <c r="AF38" s="121"/>
      <c r="AG38" s="121"/>
      <c r="AH38" s="121"/>
      <c r="AI38" s="121"/>
      <c r="AJ38" s="121"/>
      <c r="AK38" s="121"/>
      <c r="AL38" s="121">
        <f t="shared" si="2"/>
        <v>0</v>
      </c>
      <c r="AM38" s="120">
        <f t="shared" si="6"/>
        <v>0</v>
      </c>
      <c r="AN38" s="121">
        <f t="shared" si="6"/>
        <v>0</v>
      </c>
      <c r="AO38" s="145"/>
    </row>
    <row r="39" spans="2:41">
      <c r="B39" s="25">
        <f t="shared" si="5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 t="shared" si="10"/>
        <v>0</v>
      </c>
      <c r="AD39" s="120">
        <f t="shared" si="11"/>
        <v>0</v>
      </c>
      <c r="AE39" s="121">
        <f t="shared" si="12"/>
        <v>0</v>
      </c>
      <c r="AF39" s="121"/>
      <c r="AG39" s="121"/>
      <c r="AH39" s="121"/>
      <c r="AI39" s="121"/>
      <c r="AJ39" s="121"/>
      <c r="AK39" s="121"/>
      <c r="AL39" s="121">
        <f t="shared" si="2"/>
        <v>0</v>
      </c>
      <c r="AM39" s="120">
        <f t="shared" si="6"/>
        <v>0</v>
      </c>
      <c r="AN39" s="121">
        <f t="shared" si="6"/>
        <v>0</v>
      </c>
      <c r="AO39" s="145"/>
    </row>
    <row r="40" spans="2:41">
      <c r="B40" s="25">
        <f t="shared" si="5"/>
        <v>29</v>
      </c>
      <c r="C40" s="32"/>
      <c r="D40" s="33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 t="shared" si="10"/>
        <v>0</v>
      </c>
      <c r="AD40" s="120">
        <f t="shared" si="11"/>
        <v>0</v>
      </c>
      <c r="AE40" s="121">
        <f t="shared" si="12"/>
        <v>0</v>
      </c>
      <c r="AF40" s="121"/>
      <c r="AG40" s="121"/>
      <c r="AH40" s="121"/>
      <c r="AI40" s="121"/>
      <c r="AJ40" s="121"/>
      <c r="AK40" s="121"/>
      <c r="AL40" s="121">
        <f t="shared" si="2"/>
        <v>0</v>
      </c>
      <c r="AM40" s="120">
        <f t="shared" si="6"/>
        <v>0</v>
      </c>
      <c r="AN40" s="121">
        <f t="shared" si="6"/>
        <v>0</v>
      </c>
      <c r="AO40" s="145"/>
    </row>
    <row r="41" ht="16.5" spans="2:41">
      <c r="B41" s="25">
        <f t="shared" si="5"/>
        <v>30</v>
      </c>
      <c r="C41" s="26"/>
      <c r="D41" s="25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102"/>
      <c r="R41" s="97"/>
      <c r="S41" s="97"/>
      <c r="T41" s="98"/>
      <c r="U41" s="99"/>
      <c r="V41" s="99"/>
      <c r="W41" s="100"/>
      <c r="X41" s="103"/>
      <c r="Y41" s="103"/>
      <c r="Z41" s="122"/>
      <c r="AA41" s="122"/>
      <c r="AB41" s="122"/>
      <c r="AC41" s="119">
        <f t="shared" si="10"/>
        <v>0</v>
      </c>
      <c r="AD41" s="120">
        <f t="shared" si="11"/>
        <v>0</v>
      </c>
      <c r="AE41" s="121">
        <f t="shared" si="12"/>
        <v>0</v>
      </c>
      <c r="AF41" s="135"/>
      <c r="AG41" s="135"/>
      <c r="AH41" s="135"/>
      <c r="AI41" s="135"/>
      <c r="AJ41" s="135"/>
      <c r="AK41" s="135"/>
      <c r="AL41" s="123">
        <f t="shared" si="2"/>
        <v>0</v>
      </c>
      <c r="AM41" s="130">
        <f t="shared" si="6"/>
        <v>0</v>
      </c>
      <c r="AN41" s="123">
        <f t="shared" si="6"/>
        <v>0</v>
      </c>
      <c r="AO41" s="182"/>
    </row>
    <row r="42" ht="18.95" customHeight="1" spans="2:41">
      <c r="B42" s="34" t="s">
        <v>61</v>
      </c>
      <c r="C42" s="35">
        <f>COUNTA(C12:C41)</f>
        <v>12</v>
      </c>
      <c r="D42" s="36"/>
      <c r="E42" s="37">
        <f t="shared" ref="E42:AJ42" si="13">SUM(E12:E41)</f>
        <v>22</v>
      </c>
      <c r="F42" s="37">
        <f t="shared" si="13"/>
        <v>5</v>
      </c>
      <c r="G42" s="38">
        <f t="shared" si="13"/>
        <v>0</v>
      </c>
      <c r="H42" s="38">
        <f t="shared" si="13"/>
        <v>0</v>
      </c>
      <c r="I42" s="70">
        <f t="shared" si="13"/>
        <v>18</v>
      </c>
      <c r="J42" s="70">
        <f t="shared" si="13"/>
        <v>1</v>
      </c>
      <c r="K42" s="71">
        <f t="shared" si="13"/>
        <v>0</v>
      </c>
      <c r="L42" s="71">
        <f t="shared" si="13"/>
        <v>4</v>
      </c>
      <c r="M42" s="72">
        <f t="shared" si="13"/>
        <v>0</v>
      </c>
      <c r="N42" s="72">
        <f t="shared" si="13"/>
        <v>0</v>
      </c>
      <c r="O42" s="71">
        <f t="shared" si="13"/>
        <v>0</v>
      </c>
      <c r="P42" s="71">
        <f t="shared" si="13"/>
        <v>0</v>
      </c>
      <c r="Q42" s="104">
        <f t="shared" si="13"/>
        <v>0</v>
      </c>
      <c r="R42" s="105">
        <f t="shared" si="13"/>
        <v>0</v>
      </c>
      <c r="S42" s="105">
        <f t="shared" si="13"/>
        <v>0</v>
      </c>
      <c r="T42" s="106">
        <f t="shared" si="13"/>
        <v>5</v>
      </c>
      <c r="U42" s="107">
        <f t="shared" si="13"/>
        <v>6</v>
      </c>
      <c r="V42" s="107">
        <f t="shared" si="13"/>
        <v>3</v>
      </c>
      <c r="W42" s="70">
        <f t="shared" si="13"/>
        <v>0</v>
      </c>
      <c r="X42" s="71">
        <f t="shared" si="13"/>
        <v>0</v>
      </c>
      <c r="Y42" s="124">
        <f t="shared" si="13"/>
        <v>1</v>
      </c>
      <c r="Z42" s="125">
        <f t="shared" si="13"/>
        <v>0</v>
      </c>
      <c r="AA42" s="125">
        <f t="shared" si="13"/>
        <v>0</v>
      </c>
      <c r="AB42" s="125">
        <f t="shared" si="13"/>
        <v>0</v>
      </c>
      <c r="AC42" s="125">
        <f t="shared" si="13"/>
        <v>69326</v>
      </c>
      <c r="AD42" s="125">
        <f t="shared" si="13"/>
        <v>6932.6</v>
      </c>
      <c r="AE42" s="178">
        <f t="shared" si="13"/>
        <v>62393.4</v>
      </c>
      <c r="AF42" s="178">
        <f t="shared" si="13"/>
        <v>0</v>
      </c>
      <c r="AG42" s="178">
        <f t="shared" si="13"/>
        <v>0</v>
      </c>
      <c r="AH42" s="178">
        <f t="shared" si="13"/>
        <v>0</v>
      </c>
      <c r="AI42" s="178">
        <f t="shared" si="13"/>
        <v>0</v>
      </c>
      <c r="AJ42" s="178">
        <f t="shared" si="13"/>
        <v>0</v>
      </c>
      <c r="AK42" s="181"/>
      <c r="AL42" s="181">
        <f>SUM(AL12:AL41)</f>
        <v>20797.8</v>
      </c>
      <c r="AM42" s="181">
        <f>SUM(AM12:AM41)</f>
        <v>20797.8</v>
      </c>
      <c r="AN42" s="181">
        <f>SUM(AN12:AN41)</f>
        <v>20797.8</v>
      </c>
      <c r="AO42" s="183">
        <f>SUM(AO12:AO41)</f>
        <v>6932.6</v>
      </c>
    </row>
    <row r="44" ht="16.5" spans="5:21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6.5" spans="2:29">
      <c r="B45" s="39"/>
      <c r="C45" s="40" t="s">
        <v>62</v>
      </c>
      <c r="D45" s="40"/>
      <c r="E45" s="40">
        <v>204</v>
      </c>
      <c r="F45" s="40">
        <f>12*E45</f>
        <v>2448</v>
      </c>
      <c r="G45" s="40">
        <v>177</v>
      </c>
      <c r="H45" s="40">
        <f>G45*48</f>
        <v>8496</v>
      </c>
      <c r="I45" s="40">
        <v>204</v>
      </c>
      <c r="J45" s="40">
        <v>340</v>
      </c>
      <c r="K45" s="40">
        <v>177</v>
      </c>
      <c r="L45" s="40">
        <f>K45*15</f>
        <v>2655</v>
      </c>
      <c r="M45" s="40">
        <v>116</v>
      </c>
      <c r="N45" s="40">
        <f>M45*6</f>
        <v>696</v>
      </c>
      <c r="O45" s="40">
        <v>272</v>
      </c>
      <c r="P45" s="40">
        <f>O45*4</f>
        <v>1088</v>
      </c>
      <c r="Q45" s="40">
        <v>1496</v>
      </c>
      <c r="R45" s="40">
        <v>272</v>
      </c>
      <c r="S45" s="40">
        <f>R45*4</f>
        <v>1088</v>
      </c>
      <c r="T45" s="40">
        <v>6800</v>
      </c>
      <c r="U45" s="40">
        <v>75</v>
      </c>
      <c r="V45" s="40">
        <f>U45*12</f>
        <v>900</v>
      </c>
      <c r="W45" s="40">
        <v>20</v>
      </c>
      <c r="X45" s="40">
        <v>68</v>
      </c>
      <c r="Y45" s="40">
        <f>X45*12</f>
        <v>816</v>
      </c>
      <c r="Z45" s="40">
        <v>1904</v>
      </c>
      <c r="AA45" s="40">
        <v>122</v>
      </c>
      <c r="AB45" s="40">
        <v>340</v>
      </c>
      <c r="AC45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45066682943"/>
  </sheetPr>
  <dimension ref="B2:AO45"/>
  <sheetViews>
    <sheetView showGridLines="0" workbookViewId="0">
      <pane xSplit="3" ySplit="7" topLeftCell="T32" activePane="bottomRight" state="frozen"/>
      <selection/>
      <selection pane="topRight"/>
      <selection pane="bottomLeft"/>
      <selection pane="bottomRight" activeCell="C11" sqref="C11:AB35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 t="s">
        <v>200</v>
      </c>
      <c r="L5" s="133"/>
      <c r="M5" s="133"/>
      <c r="N5" s="133"/>
    </row>
    <row r="6" ht="18.95" customHeight="1" spans="3:7">
      <c r="C6" s="4" t="s">
        <v>17</v>
      </c>
      <c r="D6" s="5" t="s">
        <v>63</v>
      </c>
      <c r="E6" s="6"/>
      <c r="F6" s="6"/>
      <c r="G6" s="6"/>
    </row>
    <row r="7" ht="18.95" customHeight="1" spans="3:7">
      <c r="C7" s="7" t="s">
        <v>18</v>
      </c>
      <c r="D7" s="5" t="s">
        <v>201</v>
      </c>
      <c r="E7" s="6"/>
      <c r="F7" s="6"/>
      <c r="G7" s="6"/>
    </row>
    <row r="8" ht="18.95" customHeight="1" spans="3:7">
      <c r="C8" s="7" t="s">
        <v>19</v>
      </c>
      <c r="D8" s="5" t="s">
        <v>304</v>
      </c>
      <c r="E8" s="6"/>
      <c r="F8" s="6"/>
      <c r="G8" s="6"/>
    </row>
    <row r="9" ht="27" customHeight="1" spans="2:41">
      <c r="B9" s="8" t="s">
        <v>1</v>
      </c>
      <c r="C9" s="8" t="s">
        <v>21</v>
      </c>
      <c r="D9" s="8" t="s">
        <v>22</v>
      </c>
      <c r="E9" s="9" t="s">
        <v>23</v>
      </c>
      <c r="F9" s="10"/>
      <c r="G9" s="11" t="s">
        <v>24</v>
      </c>
      <c r="H9" s="12"/>
      <c r="I9" s="41" t="s">
        <v>25</v>
      </c>
      <c r="J9" s="42"/>
      <c r="K9" s="43" t="s">
        <v>26</v>
      </c>
      <c r="L9" s="44"/>
      <c r="M9" s="45" t="s">
        <v>27</v>
      </c>
      <c r="N9" s="46"/>
      <c r="O9" s="47" t="s">
        <v>28</v>
      </c>
      <c r="P9" s="48"/>
      <c r="Q9" s="73" t="s">
        <v>29</v>
      </c>
      <c r="R9" s="74" t="s">
        <v>30</v>
      </c>
      <c r="S9" s="75"/>
      <c r="T9" s="76" t="s">
        <v>31</v>
      </c>
      <c r="U9" s="77" t="s">
        <v>32</v>
      </c>
      <c r="V9" s="78"/>
      <c r="W9" s="79" t="s">
        <v>33</v>
      </c>
      <c r="X9" s="80" t="s">
        <v>34</v>
      </c>
      <c r="Y9" s="108"/>
      <c r="Z9" s="109" t="s">
        <v>35</v>
      </c>
      <c r="AA9" s="109" t="s">
        <v>36</v>
      </c>
      <c r="AB9" s="109" t="s">
        <v>37</v>
      </c>
      <c r="AC9" s="110" t="s">
        <v>38</v>
      </c>
      <c r="AD9" s="111" t="s">
        <v>66</v>
      </c>
      <c r="AE9" s="155" t="s">
        <v>40</v>
      </c>
      <c r="AF9" s="156" t="s">
        <v>41</v>
      </c>
      <c r="AG9" s="156"/>
      <c r="AH9" s="156"/>
      <c r="AI9" s="156"/>
      <c r="AJ9" s="156"/>
      <c r="AK9" s="156"/>
      <c r="AL9" s="156"/>
      <c r="AM9" s="156"/>
      <c r="AN9" s="156"/>
      <c r="AO9" s="157"/>
    </row>
    <row r="10" ht="23.25" customHeight="1" spans="2:41">
      <c r="B10" s="13"/>
      <c r="C10" s="13"/>
      <c r="D10" s="13"/>
      <c r="E10" s="14" t="s">
        <v>42</v>
      </c>
      <c r="F10" s="15" t="s">
        <v>43</v>
      </c>
      <c r="G10" s="16" t="s">
        <v>42</v>
      </c>
      <c r="H10" s="17" t="s">
        <v>44</v>
      </c>
      <c r="I10" s="49" t="s">
        <v>42</v>
      </c>
      <c r="J10" s="50" t="s">
        <v>44</v>
      </c>
      <c r="K10" s="51" t="s">
        <v>45</v>
      </c>
      <c r="L10" s="52" t="s">
        <v>46</v>
      </c>
      <c r="M10" s="53" t="s">
        <v>47</v>
      </c>
      <c r="N10" s="53" t="s">
        <v>48</v>
      </c>
      <c r="O10" s="54" t="s">
        <v>42</v>
      </c>
      <c r="P10" s="55" t="s">
        <v>49</v>
      </c>
      <c r="Q10" s="81" t="s">
        <v>42</v>
      </c>
      <c r="R10" s="82" t="s">
        <v>50</v>
      </c>
      <c r="S10" s="83" t="s">
        <v>51</v>
      </c>
      <c r="T10" s="84" t="s">
        <v>42</v>
      </c>
      <c r="U10" s="85" t="s">
        <v>52</v>
      </c>
      <c r="V10" s="85" t="s">
        <v>53</v>
      </c>
      <c r="W10" s="86" t="s">
        <v>42</v>
      </c>
      <c r="X10" s="87" t="s">
        <v>52</v>
      </c>
      <c r="Y10" s="87" t="s">
        <v>53</v>
      </c>
      <c r="Z10" s="113" t="s">
        <v>54</v>
      </c>
      <c r="AA10" s="113" t="s">
        <v>54</v>
      </c>
      <c r="AB10" s="113" t="s">
        <v>54</v>
      </c>
      <c r="AC10" s="114"/>
      <c r="AD10" s="115"/>
      <c r="AE10" s="116"/>
      <c r="AF10" s="114" t="s">
        <v>55</v>
      </c>
      <c r="AG10" s="114" t="s">
        <v>56</v>
      </c>
      <c r="AH10" s="114" t="s">
        <v>57</v>
      </c>
      <c r="AI10" s="114"/>
      <c r="AJ10" s="114"/>
      <c r="AK10" s="114"/>
      <c r="AL10" s="34" t="s">
        <v>55</v>
      </c>
      <c r="AM10" s="141" t="s">
        <v>56</v>
      </c>
      <c r="AN10" s="34" t="s">
        <v>57</v>
      </c>
      <c r="AO10" s="143" t="s">
        <v>58</v>
      </c>
    </row>
    <row r="11" spans="2:41">
      <c r="B11" s="18">
        <f>B10+1</f>
        <v>1</v>
      </c>
      <c r="C11" s="19"/>
      <c r="D11" s="20"/>
      <c r="E11" s="21"/>
      <c r="F11" s="22"/>
      <c r="G11" s="23"/>
      <c r="H11" s="24"/>
      <c r="I11" s="56"/>
      <c r="J11" s="57"/>
      <c r="K11" s="58"/>
      <c r="L11" s="59"/>
      <c r="M11" s="60"/>
      <c r="N11" s="61"/>
      <c r="O11" s="59"/>
      <c r="P11" s="62"/>
      <c r="Q11" s="88"/>
      <c r="R11" s="89"/>
      <c r="S11" s="90"/>
      <c r="T11" s="91"/>
      <c r="U11" s="92"/>
      <c r="V11" s="92"/>
      <c r="W11" s="93"/>
      <c r="X11" s="94"/>
      <c r="Y11" s="94"/>
      <c r="Z11" s="118"/>
      <c r="AA11" s="118"/>
      <c r="AB11" s="118"/>
      <c r="AC11" s="119">
        <f>(E11*E45)+(F11*F45)+(G11*G45)+(H11*H45)+(I11*I45)+(J11*J45)+(K11*K45)+(L11*L45)+(M11*M45)+(N11*N45)+(O11*O45)+(P11*P45)+(Q11*Q45)+(R11*R45)+(S11*S45)+(T11*T45)+(U11*U45)+(V11*V45)+(W11*W45)+(X11*X45)+(Y11*Y45)+(Z11*Z45)+(AA11*AA45)+(AB11*AB45)</f>
        <v>0</v>
      </c>
      <c r="AD11" s="120">
        <f>10%*AC11</f>
        <v>0</v>
      </c>
      <c r="AE11" s="121">
        <f>AC11-AD11</f>
        <v>0</v>
      </c>
      <c r="AF11" s="121"/>
      <c r="AG11" s="121"/>
      <c r="AH11" s="121"/>
      <c r="AI11" s="121"/>
      <c r="AJ11" s="121"/>
      <c r="AK11" s="121"/>
      <c r="AL11" s="121">
        <f t="shared" ref="AL11:AL41" si="0">AE11/3</f>
        <v>0</v>
      </c>
      <c r="AM11" s="120">
        <f>AL11</f>
        <v>0</v>
      </c>
      <c r="AN11" s="121">
        <f>AM11</f>
        <v>0</v>
      </c>
      <c r="AO11" s="145">
        <f t="shared" ref="AO11" si="1">AD11+AF11+AG11+AH11+AI11+AJ11+AK11</f>
        <v>0</v>
      </c>
    </row>
    <row r="12" spans="2:41">
      <c r="B12" s="25">
        <f t="shared" ref="B12:B41" si="2">B11+1</f>
        <v>2</v>
      </c>
      <c r="C12" s="26"/>
      <c r="D12" s="27"/>
      <c r="E12" s="28"/>
      <c r="F12" s="29"/>
      <c r="G12" s="30"/>
      <c r="H12" s="31"/>
      <c r="I12" s="63"/>
      <c r="J12" s="64"/>
      <c r="K12" s="65"/>
      <c r="L12" s="66"/>
      <c r="M12" s="67"/>
      <c r="N12" s="68"/>
      <c r="O12" s="66"/>
      <c r="P12" s="69"/>
      <c r="Q12" s="95"/>
      <c r="R12" s="96"/>
      <c r="S12" s="97"/>
      <c r="T12" s="98"/>
      <c r="U12" s="99"/>
      <c r="V12" s="99"/>
      <c r="W12" s="100"/>
      <c r="X12" s="101"/>
      <c r="Y12" s="101"/>
      <c r="Z12" s="118"/>
      <c r="AA12" s="118"/>
      <c r="AB12" s="118"/>
      <c r="AC12" s="119">
        <f>(E12*E45)+(F12*F45)+(G12*G45)+(H12*H45)+(I12*I45)+(J12*J45)+(K12*K45)+(L12*L45)+(M12*M45)+(N12*N45)+(O12*O45)+(P12*P45)+(Q12*Q45)+(R12*R45)+(S12*S45)+(T12*T45)+(U12*U45)+(V12*V45)+(W12*W45)+(X12*X45)+(Y12*Y45)+(Z12*Z45)+(AA12*AA45)+(AB12*AB45)</f>
        <v>0</v>
      </c>
      <c r="AD12" s="120">
        <f t="shared" ref="AD12:AD41" si="3">10%*AC12</f>
        <v>0</v>
      </c>
      <c r="AE12" s="121">
        <f t="shared" ref="AE12:AE41" si="4">AC12-AD12</f>
        <v>0</v>
      </c>
      <c r="AF12" s="121"/>
      <c r="AG12" s="121"/>
      <c r="AH12" s="121"/>
      <c r="AI12" s="121"/>
      <c r="AJ12" s="121"/>
      <c r="AK12" s="121"/>
      <c r="AL12" s="121">
        <f t="shared" si="0"/>
        <v>0</v>
      </c>
      <c r="AM12" s="120">
        <f t="shared" ref="AM12:AN27" si="5">AL12</f>
        <v>0</v>
      </c>
      <c r="AN12" s="121">
        <f t="shared" si="5"/>
        <v>0</v>
      </c>
      <c r="AO12" s="145">
        <f t="shared" ref="AO12:AO20" si="6">AD12+AF12+AG12+AH12+AI12+AJ12+AK12</f>
        <v>0</v>
      </c>
    </row>
    <row r="13" spans="2:41">
      <c r="B13" s="25">
        <f t="shared" si="2"/>
        <v>3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(E13*E45)+(F13*F45)+(G13*G45)+(H13*H45)+(I13*I45)+(J13*J45)+(K13*K45)+(L13*L45)+(M13*M45)+(N13*N45)+(O13*O45)+(P13*P45)+(Q13*Q45)+(R13*R45)+(S13*S45)+(T13*T45)+(U13*U45)+(V13*V45)+(W13*W45)+(X13*X45)+(Y13*Y45)+(Z13*Z45)+(AA13*AA45)+(AB13*AB45)</f>
        <v>0</v>
      </c>
      <c r="AD13" s="120">
        <f t="shared" si="3"/>
        <v>0</v>
      </c>
      <c r="AE13" s="121">
        <f t="shared" si="4"/>
        <v>0</v>
      </c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 t="shared" si="5"/>
        <v>0</v>
      </c>
      <c r="AN13" s="121">
        <f t="shared" si="5"/>
        <v>0</v>
      </c>
      <c r="AO13" s="145">
        <f t="shared" si="6"/>
        <v>0</v>
      </c>
    </row>
    <row r="14" spans="2:41">
      <c r="B14" s="25">
        <f t="shared" si="2"/>
        <v>4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(E14*E45)+(F14*F45)+(G14*G45)+(H14*H45)+(I14*I45)+(J14*J45)+(K14*K45)+(L14*L45)+(M14*M45)+(N14*N45)+(O14*O45)+(P14*P45)+(Q14*Q45)+(R14*R45)+(S14*S45)+(T14*T45)+(U14*U45)+(V14*V45)+(W14*W45)+(X14*X45)+(Y14*Y45)+(Z14*Z45)+(AA14*AA45)+(AB14*AB45)</f>
        <v>0</v>
      </c>
      <c r="AD14" s="120">
        <f t="shared" si="3"/>
        <v>0</v>
      </c>
      <c r="AE14" s="121">
        <f t="shared" si="4"/>
        <v>0</v>
      </c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5"/>
        <v>0</v>
      </c>
      <c r="AN14" s="121">
        <f t="shared" si="5"/>
        <v>0</v>
      </c>
      <c r="AO14" s="145">
        <f t="shared" si="6"/>
        <v>0</v>
      </c>
    </row>
    <row r="15" spans="2:41">
      <c r="B15" s="25">
        <f t="shared" si="2"/>
        <v>5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(E15*E45)+(F15*F45)+(G15*G45)+(H15*H45)+(I15*I45)+(J15*J45)+(K15*K45)+(L15*L45)+(M15*M45)+(N15*N45)+(O15*O45)+(P15*P45)+(Q15*Q45)+(R15*R45)+(S15*S45)+(T15*T45)+(U15*U45)+(V15*V45)+(W15*W45)+(X15*X45)+(Y15*Y45)+(Z15*Z45)+(AA15*AA45)+(AB15*AB45)</f>
        <v>0</v>
      </c>
      <c r="AD15" s="120">
        <f t="shared" si="3"/>
        <v>0</v>
      </c>
      <c r="AE15" s="121">
        <f t="shared" si="4"/>
        <v>0</v>
      </c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5"/>
        <v>0</v>
      </c>
      <c r="AN15" s="121">
        <f t="shared" si="5"/>
        <v>0</v>
      </c>
      <c r="AO15" s="145">
        <f t="shared" si="6"/>
        <v>0</v>
      </c>
    </row>
    <row r="16" spans="2:41">
      <c r="B16" s="25">
        <f t="shared" si="2"/>
        <v>6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(E16*E45)+(F16*F45)+(G16*G45)+(H16*H45)+(I16*I45)+(J16*J49)+(K16*K45)+(L16*L45)+(M16*M45)+(N16*N45)+(O16*O45)+(P16*P45)+(Q16*Q45)+(R16*R45)+(S16*S45)+(T16*T45)+(U16*U45)+(V16*V45)+(W16*W45)+(X16*X45)+(Y16*Y45)+(Z16*Z45)+(AA16*AA45)+(AB16*AB45)</f>
        <v>0</v>
      </c>
      <c r="AD16" s="120">
        <f t="shared" si="3"/>
        <v>0</v>
      </c>
      <c r="AE16" s="121">
        <f t="shared" si="4"/>
        <v>0</v>
      </c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5"/>
        <v>0</v>
      </c>
      <c r="AN16" s="121">
        <f t="shared" si="5"/>
        <v>0</v>
      </c>
      <c r="AO16" s="145">
        <f t="shared" si="6"/>
        <v>0</v>
      </c>
    </row>
    <row r="17" spans="2:41">
      <c r="B17" s="25">
        <f t="shared" si="2"/>
        <v>7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(E17*E45)+(F17*F45)+(G17*G45)+(H17*H45)+(I17*I45)+(J17*J45)+(K17*K45)+(L17*L45)+(M17*M45)+(N17*N45)+(O17*O45)+(P17*P45)+(Q17*Q45)+(R17*R45)+(S17*S45)+(T17*T45)+(U17*U45)+(V17*V45)+(W17*W45)+(X17*X45)+(Y17*Y45)+(Z17*Z45)+(AA17*AA45)+(AB17*AB45)</f>
        <v>0</v>
      </c>
      <c r="AD17" s="120">
        <f t="shared" si="3"/>
        <v>0</v>
      </c>
      <c r="AE17" s="121">
        <f>AC17-AO17</f>
        <v>0</v>
      </c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>AL17</f>
        <v>0</v>
      </c>
      <c r="AN17" s="121">
        <f t="shared" si="5"/>
        <v>0</v>
      </c>
      <c r="AO17" s="145">
        <f t="shared" si="6"/>
        <v>0</v>
      </c>
    </row>
    <row r="18" spans="2:41">
      <c r="B18" s="25">
        <f t="shared" si="2"/>
        <v>8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(E18*E45)+(F18*F45)+(G18*G45)+(H18*H45)+(I18*I45)+(J18*J45)+(K18*K45)+(L18*L45)+(M18*M45)+(N18*N45)+(O18*O45)+(P18*P45)+(Q18*Q45)+(R18*R45)+(S18*S45)+(T18*T45)+(U18*U45)+(V18*V45)+(W18*W45)+(X18*X45)+(Y18*Y45)+(Z18*Z45)+(AA18*AA45)+(AB18*AB45)</f>
        <v>0</v>
      </c>
      <c r="AD18" s="120">
        <f t="shared" si="3"/>
        <v>0</v>
      </c>
      <c r="AE18" s="121">
        <f t="shared" si="4"/>
        <v>0</v>
      </c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 t="shared" si="5"/>
        <v>0</v>
      </c>
      <c r="AN18" s="121">
        <f t="shared" si="5"/>
        <v>0</v>
      </c>
      <c r="AO18" s="145">
        <f t="shared" si="6"/>
        <v>0</v>
      </c>
    </row>
    <row r="19" spans="2:41">
      <c r="B19" s="25">
        <f t="shared" si="2"/>
        <v>9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(E19*E45)+(F19*F45)+(G19*G45)+(H19*H45)+(I19*I45)+(J19*J45)+(K19*K45)+(L19*L45)+(M19*M45)+(N19*N45)+(O19*O45)+(P19*P45)+(Q19*Q45)+(R19*R45)+(S19*S45)+(T19*T45)+(U19*U45)+(V19*V45)+(W19*W45)+(X19*X45)+(Y19*Y45)+(Z19*Z45)+(AA19*AA45)+(AB19*AB45)</f>
        <v>0</v>
      </c>
      <c r="AD19" s="120">
        <f t="shared" si="3"/>
        <v>0</v>
      </c>
      <c r="AE19" s="121">
        <f t="shared" si="4"/>
        <v>0</v>
      </c>
      <c r="AF19" s="121"/>
      <c r="AG19" s="121"/>
      <c r="AH19" s="121"/>
      <c r="AI19" s="121"/>
      <c r="AJ19" s="121"/>
      <c r="AK19" s="121"/>
      <c r="AL19" s="121">
        <f t="shared" si="0"/>
        <v>0</v>
      </c>
      <c r="AM19" s="120">
        <f t="shared" si="5"/>
        <v>0</v>
      </c>
      <c r="AN19" s="121">
        <f t="shared" si="5"/>
        <v>0</v>
      </c>
      <c r="AO19" s="145">
        <f t="shared" si="6"/>
        <v>0</v>
      </c>
    </row>
    <row r="20" spans="2:41">
      <c r="B20" s="25">
        <f t="shared" si="2"/>
        <v>10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(E20*E45)+(F20*F45)+(G20*G45)+(H20*H45)+(I20*I45)+(J20*J45)+(K20*K45)+(L20*L45)+(M20*M45)+(N20*N45)+(O20*O45)+(P20*P45)+(Q20*Q45)+(R20*R45)+(S20*S45)+(T20*T45)+(U20*U45)+(V20*V45)+(W20*W45)+(X20*X45)+(Y20*Y45)+(Z20*Z45)+(AA20*AA45)+(AB20*AB45)</f>
        <v>0</v>
      </c>
      <c r="AD20" s="120">
        <f t="shared" si="3"/>
        <v>0</v>
      </c>
      <c r="AE20" s="121">
        <f t="shared" si="4"/>
        <v>0</v>
      </c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5"/>
        <v>0</v>
      </c>
      <c r="AN20" s="121">
        <f t="shared" si="5"/>
        <v>0</v>
      </c>
      <c r="AO20" s="145">
        <f t="shared" si="6"/>
        <v>0</v>
      </c>
    </row>
    <row r="21" spans="2:41">
      <c r="B21" s="25">
        <f t="shared" si="2"/>
        <v>11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(E21*E45)+(F21*F45)+(G21*G45)+(H21*H45)+(I21*I45)+(J21*J45)+(K21*K45)+(L21*L45)+(M21*M45)+(N21*N45)+(O21*O45)+(P21*P45)+(Q21*Q45)+(R21*R45)+(S21*S45)+(T21*T45)+(U21*U45)+(V21*V45)+(W21*W45)+(X21*X45)+(Y21*Y45)+(Z21*Z45)+(AA21*AA45)+(AB21*AB45)</f>
        <v>0</v>
      </c>
      <c r="AD21" s="120">
        <f t="shared" si="3"/>
        <v>0</v>
      </c>
      <c r="AE21" s="121">
        <f t="shared" si="4"/>
        <v>0</v>
      </c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5"/>
        <v>0</v>
      </c>
      <c r="AN21" s="121">
        <f t="shared" si="5"/>
        <v>0</v>
      </c>
      <c r="AO21" s="145"/>
    </row>
    <row r="22" spans="2:41">
      <c r="B22" s="25">
        <f t="shared" si="2"/>
        <v>12</v>
      </c>
      <c r="C22" s="32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(E22*E45)+(F22*F45)+(G22*G45)+(H22*H45)+(I22*I45)+(J22*J45)+(K22*K45)+(L22*L45)+(M22*M45)+(N22*N45)+(O22*O45)+(P22*P45)+(Q22*Q45)+(R22*R45)+(S22*S45)+(T22*T45)+(U22*U45)+(V22*V45)+(W22*W45)+(X22*X45)+(Y22*Y45)+(Z22*Z45)+(AA22*AA45)+(AB22*AB45)</f>
        <v>0</v>
      </c>
      <c r="AD22" s="120">
        <f t="shared" si="3"/>
        <v>0</v>
      </c>
      <c r="AE22" s="121">
        <f t="shared" si="4"/>
        <v>0</v>
      </c>
      <c r="AF22" s="121"/>
      <c r="AG22" s="121"/>
      <c r="AH22" s="121"/>
      <c r="AI22" s="121"/>
      <c r="AJ22" s="121"/>
      <c r="AK22" s="121"/>
      <c r="AL22" s="121">
        <f t="shared" si="0"/>
        <v>0</v>
      </c>
      <c r="AM22" s="120">
        <f t="shared" si="5"/>
        <v>0</v>
      </c>
      <c r="AN22" s="121">
        <f t="shared" si="5"/>
        <v>0</v>
      </c>
      <c r="AO22" s="145"/>
    </row>
    <row r="23" spans="2:41">
      <c r="B23" s="25">
        <f t="shared" si="2"/>
        <v>13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(E23*E45)+(F23*F45)+(G23*G45)+(H23*H45)+(I23*I45)+(J23*J45)+(K23*K45)+(L23*L45)+(M23*M45)+(N23*N45)+(O23*O45)+(P23*P45)+(Q23*Q45)+(R23*R45)+(S23*S45)+(T23*T45)+(U23*U45)+(V23*V45)+(W23*W45)+(X23*X45)+(Y23*Y45)+(Z23*Z45)+(AA23*AA45)+(AB23*AB45)</f>
        <v>0</v>
      </c>
      <c r="AD23" s="120">
        <f t="shared" si="3"/>
        <v>0</v>
      </c>
      <c r="AE23" s="121">
        <f t="shared" si="4"/>
        <v>0</v>
      </c>
      <c r="AF23" s="121"/>
      <c r="AG23" s="121"/>
      <c r="AH23" s="121"/>
      <c r="AI23" s="121"/>
      <c r="AJ23" s="121"/>
      <c r="AK23" s="121"/>
      <c r="AL23" s="121">
        <f t="shared" si="0"/>
        <v>0</v>
      </c>
      <c r="AM23" s="120">
        <f t="shared" si="5"/>
        <v>0</v>
      </c>
      <c r="AN23" s="121">
        <f t="shared" si="5"/>
        <v>0</v>
      </c>
      <c r="AO23" s="145"/>
    </row>
    <row r="24" spans="2:41">
      <c r="B24" s="25">
        <f t="shared" si="2"/>
        <v>14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(E24*E45)+(F24*F45)+(G24*G45)+(H24*H45)+(I24*I45)+(J24*J45)+(K24*J45)+(L24*L45)+(M24*M45)+(N24*N45)+(O24*O45)+(P24*P45)+(Q24*Q45)+(R24*R45)+(S24*S45)+(T24*T45)+(U24*U45)+(V24*V45)+(W24*W45)+(X24*X45)+(Y24*Y45)+(Z24*Z45)+(AA24*AA45)+(AB24*AB45)</f>
        <v>0</v>
      </c>
      <c r="AD24" s="120">
        <f t="shared" si="3"/>
        <v>0</v>
      </c>
      <c r="AE24" s="121">
        <f t="shared" si="4"/>
        <v>0</v>
      </c>
      <c r="AF24" s="121"/>
      <c r="AG24" s="121"/>
      <c r="AH24" s="121"/>
      <c r="AI24" s="121"/>
      <c r="AJ24" s="121"/>
      <c r="AK24" s="121"/>
      <c r="AL24" s="121">
        <f t="shared" si="0"/>
        <v>0</v>
      </c>
      <c r="AM24" s="120">
        <f t="shared" si="5"/>
        <v>0</v>
      </c>
      <c r="AN24" s="121">
        <f t="shared" si="5"/>
        <v>0</v>
      </c>
      <c r="AO24" s="145"/>
    </row>
    <row r="25" spans="2:41">
      <c r="B25" s="25">
        <f t="shared" si="2"/>
        <v>15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(E25*E45)+(F25*F45)+(G25*G45)+(H25*H45)+(I25*I45)+(J25*J45)+(K25*K45)+(L25*L45)+(M25*M45)+(N25*N45)+(O25*O45)+(P25*P45)+(Q25*Q45)+(R25*R45)+(S25*S45)+(T25*T45)+(U25*U45)+(V25*V45)+(W25*W45)+(X25*X45)+(Y25*Y45)+(Z25*Z45)+(AA25*AA45)+(AB25*AB45)</f>
        <v>0</v>
      </c>
      <c r="AD25" s="120">
        <f t="shared" si="3"/>
        <v>0</v>
      </c>
      <c r="AE25" s="121">
        <f t="shared" si="4"/>
        <v>0</v>
      </c>
      <c r="AF25" s="121"/>
      <c r="AG25" s="121"/>
      <c r="AH25" s="121"/>
      <c r="AI25" s="121"/>
      <c r="AJ25" s="121"/>
      <c r="AK25" s="121"/>
      <c r="AL25" s="121">
        <f t="shared" si="0"/>
        <v>0</v>
      </c>
      <c r="AM25" s="120">
        <f t="shared" si="5"/>
        <v>0</v>
      </c>
      <c r="AN25" s="121">
        <f t="shared" si="5"/>
        <v>0</v>
      </c>
      <c r="AO25" s="145"/>
    </row>
    <row r="26" spans="2:41">
      <c r="B26" s="25">
        <f t="shared" si="2"/>
        <v>16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(E26*E45)+(F26*F45)+(G26*G45)+(H26*H45)+(I26*I45)+(J26*J45)+(K26*K45)+(L26*L45)+(M26*M45)+(N26*N45)+(O26*O45)+(P26*P45)+(Q26*Q45)+(R26*R45)+(S26*S45)+(T26*T45)+(U26*U45)+(V26*V45)+(W26*W45)+(X26*X45)+(Y26*Y45)+(Z26*Z45)+(AA26*AA45)+(AB26*AB45)</f>
        <v>0</v>
      </c>
      <c r="AD26" s="120">
        <f t="shared" si="3"/>
        <v>0</v>
      </c>
      <c r="AE26" s="121">
        <f t="shared" si="4"/>
        <v>0</v>
      </c>
      <c r="AF26" s="121"/>
      <c r="AG26" s="121"/>
      <c r="AH26" s="121"/>
      <c r="AI26" s="121"/>
      <c r="AJ26" s="121"/>
      <c r="AK26" s="121"/>
      <c r="AL26" s="121">
        <f t="shared" si="0"/>
        <v>0</v>
      </c>
      <c r="AM26" s="120">
        <f t="shared" si="5"/>
        <v>0</v>
      </c>
      <c r="AN26" s="121">
        <f t="shared" si="5"/>
        <v>0</v>
      </c>
      <c r="AO26" s="145"/>
    </row>
    <row r="27" spans="2:41">
      <c r="B27" s="25">
        <f t="shared" si="2"/>
        <v>17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(E27*E45)+(F27*F45)+(G27*G45)+(H27*H45)+(I27*I45)+(J27*J45)+(K27*J45)+(L27*L45)+(M27*M45)+(N27*N45)+(O27*O45)+(P27*P45)+(Q27*Q45)+(R27*R45)+(S27*S45)+(T27*T45)+(U27*U45)+(V27*V45)+(W27*W45)+(X27*X45)+(Y27*Y45)+(Z27*Z45)+(AA27*AA45)+(AB27*AB45)</f>
        <v>0</v>
      </c>
      <c r="AD27" s="120">
        <f t="shared" si="3"/>
        <v>0</v>
      </c>
      <c r="AE27" s="121">
        <f t="shared" si="4"/>
        <v>0</v>
      </c>
      <c r="AF27" s="121"/>
      <c r="AG27" s="121"/>
      <c r="AH27" s="121"/>
      <c r="AI27" s="121"/>
      <c r="AJ27" s="121"/>
      <c r="AK27" s="121"/>
      <c r="AL27" s="121">
        <f t="shared" si="0"/>
        <v>0</v>
      </c>
      <c r="AM27" s="120">
        <f t="shared" si="5"/>
        <v>0</v>
      </c>
      <c r="AN27" s="121">
        <f t="shared" si="5"/>
        <v>0</v>
      </c>
      <c r="AO27" s="145"/>
    </row>
    <row r="28" spans="2:41">
      <c r="B28" s="25">
        <f t="shared" si="2"/>
        <v>18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(E28*E45)+(F28*F45)+(G28*G45)+(H28*H45)+(I28*I45)+(J28*J45)+(K28*K45)+(L28*L45)+(M28*M45)+(N28*N45)+(O28*O45)+(P28*P45)+(Q28*Q45)+(R28*R45)+(S28*S45)+(T28*T45)+(U28*U45)+(V28*V45)+(W28*W45)+(X28*X45)+(Y28*Y45)+(Z28*Z45)+(AA28*AA45)+(AB28*AB45)</f>
        <v>0</v>
      </c>
      <c r="AD28" s="120">
        <f t="shared" si="3"/>
        <v>0</v>
      </c>
      <c r="AE28" s="121">
        <f t="shared" si="4"/>
        <v>0</v>
      </c>
      <c r="AF28" s="121"/>
      <c r="AG28" s="121"/>
      <c r="AH28" s="121"/>
      <c r="AI28" s="121"/>
      <c r="AJ28" s="121"/>
      <c r="AK28" s="121"/>
      <c r="AL28" s="121">
        <f t="shared" si="0"/>
        <v>0</v>
      </c>
      <c r="AM28" s="120">
        <f t="shared" ref="AM28:AN41" si="7">AL28</f>
        <v>0</v>
      </c>
      <c r="AN28" s="121">
        <f t="shared" si="7"/>
        <v>0</v>
      </c>
      <c r="AO28" s="145"/>
    </row>
    <row r="29" spans="2:41">
      <c r="B29" s="25">
        <f t="shared" si="2"/>
        <v>19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(E29*E45)+(F29*F45)+(G29*G45)+(H29*H45)+(I29*I45)+(J29*J45)+(K29*K45)+(L29*L45)+(M29*M45)+(N29*N45)+(O29*O45)+(P29*P45)+(Q29*Q45)+(R29*R45)+(S29*S45)+(T29*T45)+(U29*U45)+(V29*V45)+(W29*W45)+(X29*X45)+(Y29*Y45)+(Z29*Z45)+(AA29*AA45)+(AB29*AB45)</f>
        <v>0</v>
      </c>
      <c r="AD29" s="120">
        <f t="shared" si="3"/>
        <v>0</v>
      </c>
      <c r="AE29" s="121">
        <f t="shared" si="4"/>
        <v>0</v>
      </c>
      <c r="AF29" s="121"/>
      <c r="AG29" s="121"/>
      <c r="AH29" s="121"/>
      <c r="AI29" s="121"/>
      <c r="AJ29" s="121"/>
      <c r="AK29" s="121"/>
      <c r="AL29" s="121">
        <f t="shared" si="0"/>
        <v>0</v>
      </c>
      <c r="AM29" s="120">
        <f t="shared" si="7"/>
        <v>0</v>
      </c>
      <c r="AN29" s="121">
        <f t="shared" si="7"/>
        <v>0</v>
      </c>
      <c r="AO29" s="145"/>
    </row>
    <row r="30" spans="2:41">
      <c r="B30" s="25">
        <f t="shared" si="2"/>
        <v>20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(E30*E45)+(F30*F45)+(G30*G45)+(H30*H45)+(I30*I45)+(J30*J45)+(K30*J45)+(L30*L45)+(M30*M45)+(N30*N45)+(O30*O45)+(P30*P45)+(Q30*Q45)+(R30*R45)+(S30*S45)+(T30*T45)+(U30*U45)+(V30*V45)+(W30*W45)+(X30*X45)+(Y30*Y45)+(Z30*Z45)+(AA30*AA45)+(AB30*AB45)</f>
        <v>0</v>
      </c>
      <c r="AD30" s="120">
        <f t="shared" si="3"/>
        <v>0</v>
      </c>
      <c r="AE30" s="121">
        <f t="shared" si="4"/>
        <v>0</v>
      </c>
      <c r="AF30" s="121"/>
      <c r="AG30" s="121"/>
      <c r="AH30" s="121"/>
      <c r="AI30" s="121"/>
      <c r="AJ30" s="121"/>
      <c r="AK30" s="121"/>
      <c r="AL30" s="121">
        <f t="shared" si="0"/>
        <v>0</v>
      </c>
      <c r="AM30" s="120">
        <f t="shared" si="7"/>
        <v>0</v>
      </c>
      <c r="AN30" s="121">
        <f t="shared" si="7"/>
        <v>0</v>
      </c>
      <c r="AO30" s="145"/>
    </row>
    <row r="31" spans="2:41">
      <c r="B31" s="25">
        <f t="shared" si="2"/>
        <v>21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(E31*E45)+(F31*F45)+(G31*G45)+(H31*H45)+(I31*I45)+(J31*J45)+(K31*K45)+(L31*L45)+(M31*M45)+(N31*N45)+(O31*O45)+(P31*P45)+(Q31*Q45)+(R31*R45)+(S31*S45)+(T31*T45)+(U31*U45)+(V31*V45)+(W31*W45)+(X31*X45)+(Y31*Y45)+(Z31*Z45)+(AA31*AA45)+(AB31*AB45)</f>
        <v>0</v>
      </c>
      <c r="AD31" s="120">
        <f t="shared" si="3"/>
        <v>0</v>
      </c>
      <c r="AE31" s="121">
        <f t="shared" si="4"/>
        <v>0</v>
      </c>
      <c r="AF31" s="121"/>
      <c r="AG31" s="121"/>
      <c r="AH31" s="121"/>
      <c r="AI31" s="121"/>
      <c r="AJ31" s="121"/>
      <c r="AK31" s="121"/>
      <c r="AL31" s="121">
        <f t="shared" si="0"/>
        <v>0</v>
      </c>
      <c r="AM31" s="120">
        <f t="shared" si="7"/>
        <v>0</v>
      </c>
      <c r="AN31" s="121">
        <f t="shared" si="7"/>
        <v>0</v>
      </c>
      <c r="AO31" s="145"/>
    </row>
    <row r="32" spans="2:41">
      <c r="B32" s="25">
        <f t="shared" si="2"/>
        <v>22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(E32*E45)+(F32*F45)+(G32*G45)+(H32*H45)+(I32*I45)+(J32*J45)+(K32*K45)+(L32*L45)+(M32*M45)+(N32*N45)+(O32*O45)+(P32*P45)+(Q32*Q45)+(R32*R45)+(S32*S45)+(T32*T45)+(U32*U45)+(V32*V45)+(W32*W45)+(X32*X45)+(Y32*Y45)+(Z32*Z45)+(AA32*AA45)+(AB32*AB45)</f>
        <v>0</v>
      </c>
      <c r="AD32" s="120">
        <f t="shared" si="3"/>
        <v>0</v>
      </c>
      <c r="AE32" s="121">
        <f t="shared" si="4"/>
        <v>0</v>
      </c>
      <c r="AF32" s="121"/>
      <c r="AG32" s="121"/>
      <c r="AH32" s="121"/>
      <c r="AI32" s="121"/>
      <c r="AJ32" s="121"/>
      <c r="AK32" s="121"/>
      <c r="AL32" s="121">
        <f t="shared" si="0"/>
        <v>0</v>
      </c>
      <c r="AM32" s="120">
        <f t="shared" si="7"/>
        <v>0</v>
      </c>
      <c r="AN32" s="121">
        <f t="shared" si="7"/>
        <v>0</v>
      </c>
      <c r="AO32" s="145"/>
    </row>
    <row r="33" spans="2:41">
      <c r="B33" s="25">
        <f t="shared" si="2"/>
        <v>23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(E33*E45)+(F33*F45)+(G33*G45)+(H33*H45)+(I33*I45)+(J33*J45)+(K33*J45)+(L33*L45)+(M33*M45)+(N33*N45)+(O33*O45)+(P33*P45)+(Q33*Q45)+(R33*R45)+(S33*S45)+(T33*T45)+(U33*U45)+(V33*V45)+(W33*W45)+(X33*X45)+(Y33*Y45)+(Z33*Z45)+(AA33*AA45)+(AB33*AB45)</f>
        <v>0</v>
      </c>
      <c r="AD33" s="120">
        <f t="shared" si="3"/>
        <v>0</v>
      </c>
      <c r="AE33" s="121">
        <f t="shared" si="4"/>
        <v>0</v>
      </c>
      <c r="AF33" s="121"/>
      <c r="AG33" s="121"/>
      <c r="AH33" s="121"/>
      <c r="AI33" s="121"/>
      <c r="AJ33" s="121"/>
      <c r="AK33" s="121"/>
      <c r="AL33" s="121">
        <f t="shared" si="0"/>
        <v>0</v>
      </c>
      <c r="AM33" s="120">
        <f t="shared" si="7"/>
        <v>0</v>
      </c>
      <c r="AN33" s="121">
        <f t="shared" si="7"/>
        <v>0</v>
      </c>
      <c r="AO33" s="145"/>
    </row>
    <row r="34" spans="2:41">
      <c r="B34" s="25">
        <f t="shared" si="2"/>
        <v>24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(E34*E45)+(F34*F45)+(G34*G45)+(H34*H45)+(I34*I45)+(J34*J45)+(K34*K45)+(L34*L45)+(M34*M45)+(N34*N45)+(O34*O45)+(P34*P45)+(Q34*Q45)+(R34*R45)+(S34*S45)+(T34*T45)+(U34*U45)+(V34*V45)+(W34*W45)+(X34*X45)+(Y34*Y45)+(Z34*Z45)+(AA34*AA45)+(AB34*AB45)</f>
        <v>0</v>
      </c>
      <c r="AD34" s="120">
        <f t="shared" si="3"/>
        <v>0</v>
      </c>
      <c r="AE34" s="121">
        <f t="shared" si="4"/>
        <v>0</v>
      </c>
      <c r="AF34" s="121"/>
      <c r="AG34" s="121"/>
      <c r="AH34" s="121"/>
      <c r="AI34" s="121"/>
      <c r="AJ34" s="121"/>
      <c r="AK34" s="121"/>
      <c r="AL34" s="121">
        <f t="shared" si="0"/>
        <v>0</v>
      </c>
      <c r="AM34" s="120">
        <f t="shared" si="7"/>
        <v>0</v>
      </c>
      <c r="AN34" s="121">
        <f t="shared" si="7"/>
        <v>0</v>
      </c>
      <c r="AO34" s="145"/>
    </row>
    <row r="35" spans="2:41">
      <c r="B35" s="25">
        <f t="shared" si="2"/>
        <v>25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(E35*E45)+(F35*F45)+(G35*G45)+(H35*H45)+(I35*I45)+(J35*J45)+(K35*K45)+(L35*L45)+(M35*M45)+(N35*N45)+(O35*O45)+(P35*P45)+(Q35*Q45)+(R35*R45)+(S35*S45)+(T35*T45)+(U35*U45)+(V35*V45)+(W35*W45)+(X35*X45)+(Y35*Y45)+(Z35*Z45)+(AA35*AA45)+(AB35*AB45)</f>
        <v>0</v>
      </c>
      <c r="AD35" s="120">
        <f t="shared" si="3"/>
        <v>0</v>
      </c>
      <c r="AE35" s="121">
        <f t="shared" si="4"/>
        <v>0</v>
      </c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7"/>
        <v>0</v>
      </c>
      <c r="AN35" s="121">
        <f t="shared" si="7"/>
        <v>0</v>
      </c>
      <c r="AO35" s="145"/>
    </row>
    <row r="36" spans="2:41">
      <c r="B36" s="25">
        <f t="shared" si="2"/>
        <v>26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(E36*E45)+(F36*F45)+(G36*G45)+(H36*H45)+(I36*I45)+(J36*J45)+(K36*J45)+(L36*L45)+(M36*M45)+(N36*N45)+(O36*O45)+(P36*P45)+(Q36*Q45)+(R36*R45)+(S36*S45)+(T36*T45)+(U36*U45)+(V36*V45)+(W36*W45)+(X36*X45)+(Y36*Y45)+(Z36*Z45)+(AA36*AA45)+(AB36*AB45)</f>
        <v>0</v>
      </c>
      <c r="AD36" s="120">
        <f t="shared" si="3"/>
        <v>0</v>
      </c>
      <c r="AE36" s="121">
        <f t="shared" si="4"/>
        <v>0</v>
      </c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7"/>
        <v>0</v>
      </c>
      <c r="AN36" s="121">
        <f t="shared" si="7"/>
        <v>0</v>
      </c>
      <c r="AO36" s="145"/>
    </row>
    <row r="37" spans="2:41">
      <c r="B37" s="25">
        <f t="shared" si="2"/>
        <v>27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(E37*E45)+(F37*F45)+(G37*G45)+(H37*H45)+(I37*I45)+(J37*J45)+(K37*K45)+(L37*L45)+(M37*M45)+(N37*N45)+(O37*O45)+(P37*P45)+(Q37*Q45)+(R37*R45)+(S37*S45)+(T37*T45)+(U37*U45)+(V37*V45)+(W37*W45)+(X37*X45)+(Y37*Y45)+(Z37*Z45)+(AA37*AA45)+(AB37*AB45)</f>
        <v>0</v>
      </c>
      <c r="AD37" s="120">
        <f t="shared" si="3"/>
        <v>0</v>
      </c>
      <c r="AE37" s="121">
        <f t="shared" si="4"/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7"/>
        <v>0</v>
      </c>
      <c r="AN37" s="121">
        <f t="shared" si="7"/>
        <v>0</v>
      </c>
      <c r="AO37" s="145"/>
    </row>
    <row r="38" spans="2:41">
      <c r="B38" s="25">
        <f t="shared" si="2"/>
        <v>28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(E38*E45)+(F38*F45)+(G38*G45)+(H38*H45)+(I38*I45)+(J38*J45)+(K38*K45)+(L38*L45)+(M38*M45)+(N38*N45)+(O38*O45)+(P38*P45)+(Q38*Q45)+(R38*R45)+(S38*S45)+(T38*T45)+(U38*U45)+(V38*V45)+(W38*W45)+(X38*X45)+(Y38*Y45)+(Z38*Z45)+(AA38*AA45)+(AB38*AB45)</f>
        <v>0</v>
      </c>
      <c r="AD38" s="120">
        <f t="shared" si="3"/>
        <v>0</v>
      </c>
      <c r="AE38" s="121">
        <f t="shared" si="4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7"/>
        <v>0</v>
      </c>
      <c r="AN38" s="121">
        <f t="shared" si="7"/>
        <v>0</v>
      </c>
      <c r="AO38" s="145"/>
    </row>
    <row r="39" spans="2:41">
      <c r="B39" s="25">
        <f t="shared" si="2"/>
        <v>29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(E39*E45)+(F39*F45)+(G39*G45)+(H39*H45)+(I39*I45)+(J39*J45)+(K39*J45)+(L39*L45)+(M39*M45)+(N39*N45)+(O39*O45)+(P39*P45)+(Q39*Q45)+(R39*R45)+(S39*S45)+(T39*T45)+(U39*U45)+(V39*V45)+(W39*W45)+(X39*X45)+(Y39*Y45)+(Z39*Z45)+(AA39*AA45)+(AB39*AB45)</f>
        <v>0</v>
      </c>
      <c r="AD39" s="120">
        <f t="shared" si="3"/>
        <v>0</v>
      </c>
      <c r="AE39" s="121">
        <f t="shared" si="4"/>
        <v>0</v>
      </c>
      <c r="AF39" s="121"/>
      <c r="AG39" s="121"/>
      <c r="AH39" s="121"/>
      <c r="AI39" s="121"/>
      <c r="AJ39" s="121"/>
      <c r="AK39" s="121"/>
      <c r="AL39" s="121">
        <f t="shared" si="0"/>
        <v>0</v>
      </c>
      <c r="AM39" s="120">
        <f t="shared" si="7"/>
        <v>0</v>
      </c>
      <c r="AN39" s="121">
        <f t="shared" si="7"/>
        <v>0</v>
      </c>
      <c r="AO39" s="145"/>
    </row>
    <row r="40" spans="2:41">
      <c r="B40" s="25">
        <f t="shared" si="2"/>
        <v>30</v>
      </c>
      <c r="C40" s="32"/>
      <c r="D40" s="33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(E40*E45)+(F40*F45)+(G40*G45)+(H40*H45)+(I40*I45)+(J40*J45)+(K40*K45)+(L40*L45)+(M40*M45)+(N40*N45)+(O40*O45)+(P40*P45)+(Q40*Q45)+(R40*R45)+(S40*S45)+(T40*T45)+(U40*U45)+(V40*V45)+(W40*W45)+(X40*X45)+(Y40*Y45)+(Z40*Z45)+(AA40*AA45)+(AB40*AB45)</f>
        <v>0</v>
      </c>
      <c r="AD40" s="120">
        <f t="shared" si="3"/>
        <v>0</v>
      </c>
      <c r="AE40" s="121">
        <f t="shared" si="4"/>
        <v>0</v>
      </c>
      <c r="AF40" s="121"/>
      <c r="AG40" s="121"/>
      <c r="AH40" s="121"/>
      <c r="AI40" s="121"/>
      <c r="AJ40" s="121"/>
      <c r="AK40" s="121"/>
      <c r="AL40" s="121">
        <f t="shared" si="0"/>
        <v>0</v>
      </c>
      <c r="AM40" s="120">
        <f t="shared" si="7"/>
        <v>0</v>
      </c>
      <c r="AN40" s="121">
        <f t="shared" si="7"/>
        <v>0</v>
      </c>
      <c r="AO40" s="145"/>
    </row>
    <row r="41" spans="2:41">
      <c r="B41" s="25">
        <f t="shared" si="2"/>
        <v>31</v>
      </c>
      <c r="C41" s="26"/>
      <c r="D41" s="25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102"/>
      <c r="R41" s="97"/>
      <c r="S41" s="97"/>
      <c r="T41" s="98"/>
      <c r="U41" s="99"/>
      <c r="V41" s="99"/>
      <c r="W41" s="100"/>
      <c r="X41" s="103"/>
      <c r="Y41" s="103"/>
      <c r="Z41" s="122"/>
      <c r="AA41" s="122"/>
      <c r="AB41" s="122"/>
      <c r="AC41" s="119">
        <f>(E41*E45)+(F41*F45)+(G41*G45)+(H41*H45)+(I41*I45)+(J41*J45)+(K41*K45)+(L41*L45)+(M41*M45)+(N41*N45)+(O41*O45)+(P41*P45)+(Q41*Q45)+(R41*R45)+(S41*S45)+(T41*T45)+(U41*U45)+(V41*V45)+(W41*W45)+(X41*X45)+(Y41*Y45)+(Z41*Z45)+(AA41*AA45)+(AB41*AB45)</f>
        <v>0</v>
      </c>
      <c r="AD41" s="120">
        <f t="shared" si="3"/>
        <v>0</v>
      </c>
      <c r="AE41" s="121">
        <f t="shared" si="4"/>
        <v>0</v>
      </c>
      <c r="AF41" s="135"/>
      <c r="AG41" s="135"/>
      <c r="AH41" s="135"/>
      <c r="AI41" s="135"/>
      <c r="AJ41" s="135"/>
      <c r="AK41" s="135"/>
      <c r="AL41" s="123">
        <f t="shared" si="0"/>
        <v>0</v>
      </c>
      <c r="AM41" s="130">
        <f t="shared" si="7"/>
        <v>0</v>
      </c>
      <c r="AN41" s="123">
        <f t="shared" si="7"/>
        <v>0</v>
      </c>
      <c r="AO41" s="145"/>
    </row>
    <row r="42" ht="18.95" customHeight="1" spans="2:41">
      <c r="B42" s="34" t="s">
        <v>61</v>
      </c>
      <c r="C42" s="35">
        <f>COUNTA(C11:C41)</f>
        <v>0</v>
      </c>
      <c r="D42" s="36"/>
      <c r="E42" s="37">
        <f t="shared" ref="E42:AO42" si="8">SUM(E11:E41)</f>
        <v>0</v>
      </c>
      <c r="F42" s="37">
        <f t="shared" si="8"/>
        <v>0</v>
      </c>
      <c r="G42" s="38">
        <f t="shared" si="8"/>
        <v>0</v>
      </c>
      <c r="H42" s="38">
        <f t="shared" si="8"/>
        <v>0</v>
      </c>
      <c r="I42" s="70">
        <f t="shared" si="8"/>
        <v>0</v>
      </c>
      <c r="J42" s="70">
        <f t="shared" si="8"/>
        <v>0</v>
      </c>
      <c r="K42" s="71">
        <f t="shared" si="8"/>
        <v>0</v>
      </c>
      <c r="L42" s="71">
        <f t="shared" si="8"/>
        <v>0</v>
      </c>
      <c r="M42" s="72">
        <f t="shared" si="8"/>
        <v>0</v>
      </c>
      <c r="N42" s="72">
        <f t="shared" si="8"/>
        <v>0</v>
      </c>
      <c r="O42" s="71">
        <f t="shared" si="8"/>
        <v>0</v>
      </c>
      <c r="P42" s="71">
        <f t="shared" si="8"/>
        <v>0</v>
      </c>
      <c r="Q42" s="104">
        <f t="shared" si="8"/>
        <v>0</v>
      </c>
      <c r="R42" s="105">
        <f t="shared" si="8"/>
        <v>0</v>
      </c>
      <c r="S42" s="105">
        <f t="shared" si="8"/>
        <v>0</v>
      </c>
      <c r="T42" s="106">
        <f t="shared" si="8"/>
        <v>0</v>
      </c>
      <c r="U42" s="107">
        <f t="shared" si="8"/>
        <v>0</v>
      </c>
      <c r="V42" s="107">
        <f t="shared" si="8"/>
        <v>0</v>
      </c>
      <c r="W42" s="70">
        <f t="shared" si="8"/>
        <v>0</v>
      </c>
      <c r="X42" s="71">
        <f t="shared" si="8"/>
        <v>0</v>
      </c>
      <c r="Y42" s="124">
        <f t="shared" si="8"/>
        <v>0</v>
      </c>
      <c r="Z42" s="125">
        <f t="shared" si="8"/>
        <v>0</v>
      </c>
      <c r="AA42" s="125">
        <f t="shared" si="8"/>
        <v>0</v>
      </c>
      <c r="AB42" s="125">
        <f t="shared" si="8"/>
        <v>0</v>
      </c>
      <c r="AC42" s="125">
        <f t="shared" si="8"/>
        <v>0</v>
      </c>
      <c r="AD42" s="125">
        <f t="shared" si="8"/>
        <v>0</v>
      </c>
      <c r="AE42" s="125">
        <f t="shared" si="8"/>
        <v>0</v>
      </c>
      <c r="AF42" s="125"/>
      <c r="AG42" s="125"/>
      <c r="AH42" s="125"/>
      <c r="AI42" s="125"/>
      <c r="AJ42" s="125"/>
      <c r="AK42" s="125"/>
      <c r="AL42" s="125">
        <f t="shared" si="8"/>
        <v>0</v>
      </c>
      <c r="AM42" s="125">
        <f t="shared" si="8"/>
        <v>0</v>
      </c>
      <c r="AN42" s="125">
        <f t="shared" si="8"/>
        <v>0</v>
      </c>
      <c r="AO42" s="125">
        <f t="shared" si="8"/>
        <v>0</v>
      </c>
    </row>
    <row r="44" ht="16.5" spans="5:21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6.5" spans="2:29">
      <c r="B45" s="39"/>
      <c r="C45" s="40" t="s">
        <v>62</v>
      </c>
      <c r="D45" s="40"/>
      <c r="E45" s="40">
        <v>144</v>
      </c>
      <c r="F45" s="40">
        <f>12*E45</f>
        <v>1728</v>
      </c>
      <c r="G45" s="40">
        <v>116</v>
      </c>
      <c r="H45" s="40">
        <f>G45*48</f>
        <v>5568</v>
      </c>
      <c r="I45" s="40">
        <v>144</v>
      </c>
      <c r="J45" s="40">
        <f>I45*12</f>
        <v>1728</v>
      </c>
      <c r="K45" s="40">
        <v>116</v>
      </c>
      <c r="L45" s="40">
        <f>K45*15</f>
        <v>1740</v>
      </c>
      <c r="M45" s="40">
        <v>116</v>
      </c>
      <c r="N45" s="40">
        <f>M45*6</f>
        <v>696</v>
      </c>
      <c r="O45" s="40">
        <v>272</v>
      </c>
      <c r="P45" s="40">
        <f>O45*4</f>
        <v>1088</v>
      </c>
      <c r="Q45" s="40">
        <v>1088</v>
      </c>
      <c r="R45" s="40">
        <v>272</v>
      </c>
      <c r="S45" s="40">
        <f>R45*4</f>
        <v>1088</v>
      </c>
      <c r="T45" s="40">
        <v>4964</v>
      </c>
      <c r="U45" s="40">
        <v>68</v>
      </c>
      <c r="V45" s="40">
        <f>U45*12</f>
        <v>816</v>
      </c>
      <c r="W45" s="40">
        <v>20</v>
      </c>
      <c r="X45" s="40">
        <v>52</v>
      </c>
      <c r="Y45" s="40">
        <f>X45*12</f>
        <v>624</v>
      </c>
      <c r="Z45" s="40">
        <v>1224</v>
      </c>
      <c r="AA45" s="40">
        <v>102</v>
      </c>
      <c r="AB45" s="40">
        <v>340</v>
      </c>
      <c r="AC45" s="126"/>
    </row>
  </sheetData>
  <mergeCells count="17">
    <mergeCell ref="K5:N5"/>
    <mergeCell ref="E9:F9"/>
    <mergeCell ref="G9:H9"/>
    <mergeCell ref="I9:J9"/>
    <mergeCell ref="K9:L9"/>
    <mergeCell ref="M9:N9"/>
    <mergeCell ref="O9:P9"/>
    <mergeCell ref="R9:S9"/>
    <mergeCell ref="U9:V9"/>
    <mergeCell ref="X9:Y9"/>
    <mergeCell ref="AF9:AN9"/>
    <mergeCell ref="B9:B10"/>
    <mergeCell ref="C9:C10"/>
    <mergeCell ref="D9:D10"/>
    <mergeCell ref="AC9:AC10"/>
    <mergeCell ref="AD9:AD10"/>
    <mergeCell ref="AE9:AE10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499984740745262"/>
  </sheetPr>
  <dimension ref="B2:AO46"/>
  <sheetViews>
    <sheetView showGridLines="0" workbookViewId="0">
      <pane xSplit="3" ySplit="7" topLeftCell="K32" activePane="bottomRight" state="frozen"/>
      <selection/>
      <selection pane="topRight"/>
      <selection pane="bottomLeft"/>
      <selection pane="bottomRight" activeCell="C12" sqref="C12:C24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 t="s">
        <v>200</v>
      </c>
      <c r="L5" s="133"/>
      <c r="M5" s="133"/>
      <c r="N5" s="133"/>
    </row>
    <row r="6" ht="18.95" customHeight="1" spans="3:7">
      <c r="C6" s="4" t="s">
        <v>17</v>
      </c>
      <c r="D6" s="5" t="s">
        <v>63</v>
      </c>
      <c r="E6" s="6"/>
      <c r="F6" s="6"/>
      <c r="G6" s="6"/>
    </row>
    <row r="7" ht="18.95" customHeight="1" spans="3:7">
      <c r="C7" s="7" t="s">
        <v>18</v>
      </c>
      <c r="D7" s="5" t="s">
        <v>201</v>
      </c>
      <c r="E7" s="6"/>
      <c r="F7" s="6"/>
      <c r="G7" s="6"/>
    </row>
    <row r="8" ht="18.95" customHeight="1" spans="3:7">
      <c r="C8" s="7" t="s">
        <v>19</v>
      </c>
      <c r="D8" s="5" t="s">
        <v>305</v>
      </c>
      <c r="E8" s="6"/>
      <c r="F8" s="6"/>
      <c r="G8" s="6"/>
    </row>
    <row r="9" ht="6.95" customHeight="1"/>
    <row r="10" ht="46.5" customHeight="1" spans="2:41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2"/>
    </row>
    <row r="11" ht="32.45" customHeight="1" spans="2:41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55</v>
      </c>
      <c r="AG11" s="114" t="s">
        <v>56</v>
      </c>
      <c r="AH11" s="114"/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3" t="s">
        <v>58</v>
      </c>
    </row>
    <row r="12" spans="2:41">
      <c r="B12" s="18">
        <f>B11+1</f>
        <v>1</v>
      </c>
      <c r="C12" s="19"/>
      <c r="D12" s="301" t="s">
        <v>306</v>
      </c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/>
      <c r="AG12" s="121"/>
      <c r="AH12" s="121"/>
      <c r="AI12" s="121"/>
      <c r="AJ12" s="121"/>
      <c r="AK12" s="121"/>
      <c r="AL12" s="121">
        <f t="shared" ref="AL12:AL42" si="0">AE12/3</f>
        <v>0</v>
      </c>
      <c r="AM12" s="120">
        <f>AL12</f>
        <v>0</v>
      </c>
      <c r="AN12" s="121">
        <f>AM12</f>
        <v>0</v>
      </c>
      <c r="AO12" s="151">
        <f>AD12+AF12+AG12+AH12+AI12+AJ12+AK12</f>
        <v>0</v>
      </c>
    </row>
    <row r="13" spans="2:41">
      <c r="B13" s="25">
        <f t="shared" ref="B13:B42" si="1">B12+1</f>
        <v>2</v>
      </c>
      <c r="C13" s="26"/>
      <c r="D13" s="302" t="s">
        <v>307</v>
      </c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2">10%*AC13</f>
        <v>0</v>
      </c>
      <c r="AE13" s="121">
        <f t="shared" ref="AE13:AE18" si="3">AC13-AD13</f>
        <v>0</v>
      </c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 t="shared" ref="AM13:AN28" si="4">AL13</f>
        <v>0</v>
      </c>
      <c r="AN13" s="121">
        <f t="shared" si="4"/>
        <v>0</v>
      </c>
      <c r="AO13" s="151">
        <f t="shared" ref="AO13:AO20" si="5">AD13+AF13+AG13+AH13+AI13+AJ13+AK13</f>
        <v>0</v>
      </c>
    </row>
    <row r="14" spans="2:41">
      <c r="B14" s="25">
        <f t="shared" si="1"/>
        <v>3</v>
      </c>
      <c r="C14" s="26"/>
      <c r="D14" s="302" t="s">
        <v>308</v>
      </c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2"/>
        <v>0</v>
      </c>
      <c r="AE14" s="121">
        <f t="shared" si="3"/>
        <v>0</v>
      </c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4"/>
        <v>0</v>
      </c>
      <c r="AN14" s="121">
        <f t="shared" si="4"/>
        <v>0</v>
      </c>
      <c r="AO14" s="151">
        <f t="shared" si="5"/>
        <v>0</v>
      </c>
    </row>
    <row r="15" spans="2:41">
      <c r="B15" s="25">
        <f t="shared" si="1"/>
        <v>4</v>
      </c>
      <c r="C15" s="26"/>
      <c r="D15" s="302" t="s">
        <v>309</v>
      </c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2"/>
        <v>0</v>
      </c>
      <c r="AE15" s="121">
        <f t="shared" si="3"/>
        <v>0</v>
      </c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4"/>
        <v>0</v>
      </c>
      <c r="AN15" s="121">
        <f t="shared" si="4"/>
        <v>0</v>
      </c>
      <c r="AO15" s="151">
        <f t="shared" si="5"/>
        <v>0</v>
      </c>
    </row>
    <row r="16" spans="2:41">
      <c r="B16" s="25">
        <f t="shared" si="1"/>
        <v>5</v>
      </c>
      <c r="C16" s="26"/>
      <c r="D16" s="302" t="s">
        <v>310</v>
      </c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2"/>
        <v>0</v>
      </c>
      <c r="AE16" s="121">
        <f t="shared" si="3"/>
        <v>0</v>
      </c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4"/>
        <v>0</v>
      </c>
      <c r="AN16" s="121">
        <f t="shared" si="4"/>
        <v>0</v>
      </c>
      <c r="AO16" s="151">
        <f t="shared" si="5"/>
        <v>0</v>
      </c>
    </row>
    <row r="17" spans="2:41">
      <c r="B17" s="25">
        <f t="shared" si="1"/>
        <v>6</v>
      </c>
      <c r="C17" s="26"/>
      <c r="D17" s="302" t="s">
        <v>311</v>
      </c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2"/>
        <v>0</v>
      </c>
      <c r="AE17" s="121">
        <f t="shared" si="3"/>
        <v>0</v>
      </c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 t="shared" si="4"/>
        <v>0</v>
      </c>
      <c r="AN17" s="121">
        <f t="shared" si="4"/>
        <v>0</v>
      </c>
      <c r="AO17" s="151">
        <f t="shared" si="5"/>
        <v>0</v>
      </c>
    </row>
    <row r="18" spans="2:41">
      <c r="B18" s="25">
        <f t="shared" si="1"/>
        <v>7</v>
      </c>
      <c r="C18" s="26"/>
      <c r="D18" s="302" t="s">
        <v>312</v>
      </c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2"/>
        <v>0</v>
      </c>
      <c r="AE18" s="121">
        <f t="shared" si="3"/>
        <v>0</v>
      </c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>AL18</f>
        <v>0</v>
      </c>
      <c r="AN18" s="121">
        <f t="shared" si="4"/>
        <v>0</v>
      </c>
      <c r="AO18" s="151">
        <f t="shared" si="5"/>
        <v>0</v>
      </c>
    </row>
    <row r="19" spans="2:41">
      <c r="B19" s="25">
        <f t="shared" si="1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2"/>
        <v>0</v>
      </c>
      <c r="AE19" s="121">
        <f t="shared" ref="AE19:AE42" si="6">AC19-AD19</f>
        <v>0</v>
      </c>
      <c r="AF19" s="121"/>
      <c r="AG19" s="121"/>
      <c r="AH19" s="121"/>
      <c r="AI19" s="121"/>
      <c r="AJ19" s="121"/>
      <c r="AK19" s="121"/>
      <c r="AL19" s="121">
        <f t="shared" si="0"/>
        <v>0</v>
      </c>
      <c r="AM19" s="120">
        <f t="shared" si="4"/>
        <v>0</v>
      </c>
      <c r="AN19" s="121">
        <f t="shared" si="4"/>
        <v>0</v>
      </c>
      <c r="AO19" s="151">
        <f t="shared" si="5"/>
        <v>0</v>
      </c>
    </row>
    <row r="20" spans="2:41">
      <c r="B20" s="25">
        <f t="shared" si="1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2"/>
        <v>0</v>
      </c>
      <c r="AE20" s="121">
        <f t="shared" si="6"/>
        <v>0</v>
      </c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4"/>
        <v>0</v>
      </c>
      <c r="AN20" s="121">
        <f t="shared" si="4"/>
        <v>0</v>
      </c>
      <c r="AO20" s="151">
        <f t="shared" si="5"/>
        <v>0</v>
      </c>
    </row>
    <row r="21" spans="2:41">
      <c r="B21" s="25">
        <f t="shared" si="1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2"/>
        <v>0</v>
      </c>
      <c r="AE21" s="121">
        <f t="shared" si="6"/>
        <v>0</v>
      </c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4"/>
        <v>0</v>
      </c>
      <c r="AN21" s="121">
        <f t="shared" si="4"/>
        <v>0</v>
      </c>
      <c r="AO21" s="145"/>
    </row>
    <row r="22" spans="2:41">
      <c r="B22" s="25">
        <f t="shared" si="1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2"/>
        <v>0</v>
      </c>
      <c r="AE22" s="121">
        <f t="shared" si="6"/>
        <v>0</v>
      </c>
      <c r="AF22" s="121"/>
      <c r="AG22" s="121"/>
      <c r="AH22" s="121"/>
      <c r="AI22" s="121"/>
      <c r="AJ22" s="121"/>
      <c r="AK22" s="121"/>
      <c r="AL22" s="121">
        <f t="shared" si="0"/>
        <v>0</v>
      </c>
      <c r="AM22" s="120">
        <f t="shared" si="4"/>
        <v>0</v>
      </c>
      <c r="AN22" s="121">
        <f t="shared" si="4"/>
        <v>0</v>
      </c>
      <c r="AO22" s="145"/>
    </row>
    <row r="23" spans="2:41">
      <c r="B23" s="25">
        <f t="shared" si="1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2"/>
        <v>0</v>
      </c>
      <c r="AE23" s="121">
        <f t="shared" si="6"/>
        <v>0</v>
      </c>
      <c r="AF23" s="121"/>
      <c r="AG23" s="121"/>
      <c r="AH23" s="121"/>
      <c r="AI23" s="121"/>
      <c r="AJ23" s="121"/>
      <c r="AK23" s="121"/>
      <c r="AL23" s="121">
        <f t="shared" si="0"/>
        <v>0</v>
      </c>
      <c r="AM23" s="120">
        <f t="shared" si="4"/>
        <v>0</v>
      </c>
      <c r="AN23" s="121">
        <f t="shared" si="4"/>
        <v>0</v>
      </c>
      <c r="AO23" s="145"/>
    </row>
    <row r="24" spans="2:41">
      <c r="B24" s="25">
        <f t="shared" si="1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2"/>
        <v>0</v>
      </c>
      <c r="AE24" s="121">
        <f t="shared" si="6"/>
        <v>0</v>
      </c>
      <c r="AF24" s="121"/>
      <c r="AG24" s="121"/>
      <c r="AH24" s="121"/>
      <c r="AI24" s="121"/>
      <c r="AJ24" s="121"/>
      <c r="AK24" s="121"/>
      <c r="AL24" s="121">
        <f t="shared" si="0"/>
        <v>0</v>
      </c>
      <c r="AM24" s="120">
        <f t="shared" si="4"/>
        <v>0</v>
      </c>
      <c r="AN24" s="121">
        <f t="shared" si="4"/>
        <v>0</v>
      </c>
      <c r="AO24" s="145"/>
    </row>
    <row r="25" spans="2:41">
      <c r="B25" s="25">
        <f t="shared" si="1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2"/>
        <v>0</v>
      </c>
      <c r="AE25" s="121">
        <f t="shared" si="6"/>
        <v>0</v>
      </c>
      <c r="AF25" s="121"/>
      <c r="AG25" s="121"/>
      <c r="AH25" s="121"/>
      <c r="AI25" s="121"/>
      <c r="AJ25" s="121"/>
      <c r="AK25" s="121"/>
      <c r="AL25" s="121">
        <f t="shared" si="0"/>
        <v>0</v>
      </c>
      <c r="AM25" s="120">
        <f t="shared" si="4"/>
        <v>0</v>
      </c>
      <c r="AN25" s="121">
        <f t="shared" si="4"/>
        <v>0</v>
      </c>
      <c r="AO25" s="145"/>
    </row>
    <row r="26" spans="2:41">
      <c r="B26" s="25">
        <f t="shared" si="1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2"/>
        <v>0</v>
      </c>
      <c r="AE26" s="121">
        <f t="shared" si="6"/>
        <v>0</v>
      </c>
      <c r="AF26" s="121"/>
      <c r="AG26" s="121"/>
      <c r="AH26" s="121"/>
      <c r="AI26" s="121"/>
      <c r="AJ26" s="121"/>
      <c r="AK26" s="121"/>
      <c r="AL26" s="121">
        <f t="shared" si="0"/>
        <v>0</v>
      </c>
      <c r="AM26" s="120">
        <f t="shared" si="4"/>
        <v>0</v>
      </c>
      <c r="AN26" s="121">
        <f t="shared" si="4"/>
        <v>0</v>
      </c>
      <c r="AO26" s="145"/>
    </row>
    <row r="27" spans="2:41">
      <c r="B27" s="25">
        <f t="shared" si="1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2"/>
        <v>0</v>
      </c>
      <c r="AE27" s="121">
        <f t="shared" si="6"/>
        <v>0</v>
      </c>
      <c r="AF27" s="121"/>
      <c r="AG27" s="121"/>
      <c r="AH27" s="121"/>
      <c r="AI27" s="121"/>
      <c r="AJ27" s="121"/>
      <c r="AK27" s="121"/>
      <c r="AL27" s="121">
        <f t="shared" si="0"/>
        <v>0</v>
      </c>
      <c r="AM27" s="120">
        <f t="shared" si="4"/>
        <v>0</v>
      </c>
      <c r="AN27" s="121">
        <f t="shared" si="4"/>
        <v>0</v>
      </c>
      <c r="AO27" s="145"/>
    </row>
    <row r="28" spans="2:41">
      <c r="B28" s="25">
        <f t="shared" si="1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2"/>
        <v>0</v>
      </c>
      <c r="AE28" s="121">
        <f t="shared" si="6"/>
        <v>0</v>
      </c>
      <c r="AF28" s="121"/>
      <c r="AG28" s="121"/>
      <c r="AH28" s="121"/>
      <c r="AI28" s="121"/>
      <c r="AJ28" s="121"/>
      <c r="AK28" s="121"/>
      <c r="AL28" s="121">
        <f t="shared" si="0"/>
        <v>0</v>
      </c>
      <c r="AM28" s="120">
        <f t="shared" si="4"/>
        <v>0</v>
      </c>
      <c r="AN28" s="121">
        <f t="shared" si="4"/>
        <v>0</v>
      </c>
      <c r="AO28" s="145"/>
    </row>
    <row r="29" spans="2:41">
      <c r="B29" s="25">
        <f t="shared" si="1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2"/>
        <v>0</v>
      </c>
      <c r="AE29" s="121">
        <f t="shared" si="6"/>
        <v>0</v>
      </c>
      <c r="AF29" s="121"/>
      <c r="AG29" s="121"/>
      <c r="AH29" s="121"/>
      <c r="AI29" s="121"/>
      <c r="AJ29" s="121"/>
      <c r="AK29" s="121"/>
      <c r="AL29" s="121">
        <f t="shared" si="0"/>
        <v>0</v>
      </c>
      <c r="AM29" s="120">
        <f t="shared" ref="AM29:AN42" si="7">AL29</f>
        <v>0</v>
      </c>
      <c r="AN29" s="121">
        <f t="shared" si="7"/>
        <v>0</v>
      </c>
      <c r="AO29" s="145"/>
    </row>
    <row r="30" spans="2:41">
      <c r="B30" s="25">
        <f t="shared" si="1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2"/>
        <v>0</v>
      </c>
      <c r="AE30" s="121">
        <f t="shared" si="6"/>
        <v>0</v>
      </c>
      <c r="AF30" s="121"/>
      <c r="AG30" s="121"/>
      <c r="AH30" s="121"/>
      <c r="AI30" s="121"/>
      <c r="AJ30" s="121"/>
      <c r="AK30" s="121"/>
      <c r="AL30" s="121">
        <f t="shared" si="0"/>
        <v>0</v>
      </c>
      <c r="AM30" s="120">
        <f t="shared" si="7"/>
        <v>0</v>
      </c>
      <c r="AN30" s="121">
        <f t="shared" si="7"/>
        <v>0</v>
      </c>
      <c r="AO30" s="145"/>
    </row>
    <row r="31" spans="2:41">
      <c r="B31" s="25">
        <f t="shared" si="1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2"/>
        <v>0</v>
      </c>
      <c r="AE31" s="121">
        <f t="shared" si="6"/>
        <v>0</v>
      </c>
      <c r="AF31" s="121"/>
      <c r="AG31" s="121"/>
      <c r="AH31" s="121"/>
      <c r="AI31" s="121"/>
      <c r="AJ31" s="121"/>
      <c r="AK31" s="121"/>
      <c r="AL31" s="121">
        <f t="shared" si="0"/>
        <v>0</v>
      </c>
      <c r="AM31" s="120">
        <f t="shared" si="7"/>
        <v>0</v>
      </c>
      <c r="AN31" s="121">
        <f t="shared" si="7"/>
        <v>0</v>
      </c>
      <c r="AO31" s="145"/>
    </row>
    <row r="32" spans="2:41">
      <c r="B32" s="25">
        <f t="shared" si="1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2"/>
        <v>0</v>
      </c>
      <c r="AE32" s="121">
        <f t="shared" si="6"/>
        <v>0</v>
      </c>
      <c r="AF32" s="121"/>
      <c r="AG32" s="121"/>
      <c r="AH32" s="121"/>
      <c r="AI32" s="121"/>
      <c r="AJ32" s="121"/>
      <c r="AK32" s="121"/>
      <c r="AL32" s="121">
        <f t="shared" si="0"/>
        <v>0</v>
      </c>
      <c r="AM32" s="120">
        <f t="shared" si="7"/>
        <v>0</v>
      </c>
      <c r="AN32" s="121">
        <f t="shared" si="7"/>
        <v>0</v>
      </c>
      <c r="AO32" s="145"/>
    </row>
    <row r="33" spans="2:41">
      <c r="B33" s="25">
        <f t="shared" si="1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2"/>
        <v>0</v>
      </c>
      <c r="AE33" s="121">
        <f t="shared" si="6"/>
        <v>0</v>
      </c>
      <c r="AF33" s="121"/>
      <c r="AG33" s="121"/>
      <c r="AH33" s="121"/>
      <c r="AI33" s="121"/>
      <c r="AJ33" s="121"/>
      <c r="AK33" s="121"/>
      <c r="AL33" s="121">
        <f t="shared" si="0"/>
        <v>0</v>
      </c>
      <c r="AM33" s="120">
        <f t="shared" si="7"/>
        <v>0</v>
      </c>
      <c r="AN33" s="121">
        <f t="shared" si="7"/>
        <v>0</v>
      </c>
      <c r="AO33" s="145"/>
    </row>
    <row r="34" spans="2:41">
      <c r="B34" s="25">
        <f t="shared" si="1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2"/>
        <v>0</v>
      </c>
      <c r="AE34" s="121">
        <f t="shared" si="6"/>
        <v>0</v>
      </c>
      <c r="AF34" s="121"/>
      <c r="AG34" s="121"/>
      <c r="AH34" s="121"/>
      <c r="AI34" s="121"/>
      <c r="AJ34" s="121"/>
      <c r="AK34" s="121"/>
      <c r="AL34" s="121">
        <f t="shared" si="0"/>
        <v>0</v>
      </c>
      <c r="AM34" s="120">
        <f t="shared" si="7"/>
        <v>0</v>
      </c>
      <c r="AN34" s="121">
        <f t="shared" si="7"/>
        <v>0</v>
      </c>
      <c r="AO34" s="145"/>
    </row>
    <row r="35" spans="2:41">
      <c r="B35" s="25">
        <f t="shared" si="1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2"/>
        <v>0</v>
      </c>
      <c r="AE35" s="121">
        <f t="shared" si="6"/>
        <v>0</v>
      </c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7"/>
        <v>0</v>
      </c>
      <c r="AN35" s="121">
        <f t="shared" si="7"/>
        <v>0</v>
      </c>
      <c r="AO35" s="145"/>
    </row>
    <row r="36" spans="2:41">
      <c r="B36" s="25">
        <f t="shared" si="1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2"/>
        <v>0</v>
      </c>
      <c r="AE36" s="121">
        <f t="shared" si="6"/>
        <v>0</v>
      </c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7"/>
        <v>0</v>
      </c>
      <c r="AN36" s="121">
        <f t="shared" si="7"/>
        <v>0</v>
      </c>
      <c r="AO36" s="145"/>
    </row>
    <row r="37" spans="2:41">
      <c r="B37" s="25">
        <f t="shared" si="1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2"/>
        <v>0</v>
      </c>
      <c r="AE37" s="121">
        <f t="shared" si="6"/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7"/>
        <v>0</v>
      </c>
      <c r="AN37" s="121">
        <f t="shared" si="7"/>
        <v>0</v>
      </c>
      <c r="AO37" s="145"/>
    </row>
    <row r="38" spans="2:41">
      <c r="B38" s="25">
        <f t="shared" si="1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2"/>
        <v>0</v>
      </c>
      <c r="AE38" s="121">
        <f t="shared" si="6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7"/>
        <v>0</v>
      </c>
      <c r="AN38" s="121">
        <f t="shared" si="7"/>
        <v>0</v>
      </c>
      <c r="AO38" s="145"/>
    </row>
    <row r="39" spans="2:41">
      <c r="B39" s="25">
        <f t="shared" si="1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2"/>
        <v>0</v>
      </c>
      <c r="AE39" s="121">
        <f t="shared" si="6"/>
        <v>0</v>
      </c>
      <c r="AF39" s="121"/>
      <c r="AG39" s="121"/>
      <c r="AH39" s="121"/>
      <c r="AI39" s="121"/>
      <c r="AJ39" s="121"/>
      <c r="AK39" s="121"/>
      <c r="AL39" s="121">
        <f t="shared" si="0"/>
        <v>0</v>
      </c>
      <c r="AM39" s="120">
        <f t="shared" si="7"/>
        <v>0</v>
      </c>
      <c r="AN39" s="121">
        <f t="shared" si="7"/>
        <v>0</v>
      </c>
      <c r="AO39" s="145"/>
    </row>
    <row r="40" spans="2:41">
      <c r="B40" s="25">
        <f t="shared" si="1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2"/>
        <v>0</v>
      </c>
      <c r="AE40" s="121">
        <f t="shared" si="6"/>
        <v>0</v>
      </c>
      <c r="AF40" s="121"/>
      <c r="AG40" s="121"/>
      <c r="AH40" s="121"/>
      <c r="AI40" s="121"/>
      <c r="AJ40" s="121"/>
      <c r="AK40" s="121"/>
      <c r="AL40" s="121">
        <f t="shared" si="0"/>
        <v>0</v>
      </c>
      <c r="AM40" s="120">
        <f t="shared" si="7"/>
        <v>0</v>
      </c>
      <c r="AN40" s="121">
        <f t="shared" si="7"/>
        <v>0</v>
      </c>
      <c r="AO40" s="145"/>
    </row>
    <row r="41" spans="2:41">
      <c r="B41" s="25">
        <f t="shared" si="1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2"/>
        <v>0</v>
      </c>
      <c r="AE41" s="121">
        <f t="shared" si="6"/>
        <v>0</v>
      </c>
      <c r="AF41" s="121"/>
      <c r="AG41" s="121"/>
      <c r="AH41" s="121"/>
      <c r="AI41" s="121"/>
      <c r="AJ41" s="121"/>
      <c r="AK41" s="121"/>
      <c r="AL41" s="121">
        <f t="shared" si="0"/>
        <v>0</v>
      </c>
      <c r="AM41" s="120">
        <f t="shared" si="7"/>
        <v>0</v>
      </c>
      <c r="AN41" s="121">
        <f t="shared" si="7"/>
        <v>0</v>
      </c>
      <c r="AO41" s="145"/>
    </row>
    <row r="42" spans="2:41">
      <c r="B42" s="25">
        <f t="shared" si="1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2"/>
        <v>0</v>
      </c>
      <c r="AE42" s="121">
        <f t="shared" si="6"/>
        <v>0</v>
      </c>
      <c r="AF42" s="135"/>
      <c r="AG42" s="135"/>
      <c r="AH42" s="135"/>
      <c r="AI42" s="135"/>
      <c r="AJ42" s="135"/>
      <c r="AK42" s="135"/>
      <c r="AL42" s="123">
        <f t="shared" si="0"/>
        <v>0</v>
      </c>
      <c r="AM42" s="130">
        <f t="shared" si="7"/>
        <v>0</v>
      </c>
      <c r="AN42" s="123">
        <f t="shared" si="7"/>
        <v>0</v>
      </c>
      <c r="AO42" s="145"/>
    </row>
    <row r="43" ht="18.95" customHeight="1" spans="2:41">
      <c r="B43" s="34" t="s">
        <v>61</v>
      </c>
      <c r="C43" s="35">
        <f>COUNTA(C12:C42)</f>
        <v>0</v>
      </c>
      <c r="D43" s="36"/>
      <c r="E43" s="37">
        <f t="shared" ref="E43:AO43" si="8">SUM(E12:E42)</f>
        <v>0</v>
      </c>
      <c r="F43" s="37">
        <f t="shared" si="8"/>
        <v>0</v>
      </c>
      <c r="G43" s="38">
        <f t="shared" si="8"/>
        <v>0</v>
      </c>
      <c r="H43" s="38">
        <f t="shared" si="8"/>
        <v>0</v>
      </c>
      <c r="I43" s="70">
        <f t="shared" si="8"/>
        <v>0</v>
      </c>
      <c r="J43" s="70">
        <f t="shared" si="8"/>
        <v>0</v>
      </c>
      <c r="K43" s="71">
        <f t="shared" si="8"/>
        <v>0</v>
      </c>
      <c r="L43" s="71">
        <f t="shared" si="8"/>
        <v>0</v>
      </c>
      <c r="M43" s="72">
        <f t="shared" si="8"/>
        <v>0</v>
      </c>
      <c r="N43" s="72">
        <f t="shared" si="8"/>
        <v>0</v>
      </c>
      <c r="O43" s="71">
        <f t="shared" si="8"/>
        <v>0</v>
      </c>
      <c r="P43" s="71">
        <f t="shared" si="8"/>
        <v>0</v>
      </c>
      <c r="Q43" s="104">
        <f t="shared" si="8"/>
        <v>0</v>
      </c>
      <c r="R43" s="105">
        <f t="shared" si="8"/>
        <v>0</v>
      </c>
      <c r="S43" s="105">
        <f t="shared" si="8"/>
        <v>0</v>
      </c>
      <c r="T43" s="106">
        <f t="shared" si="8"/>
        <v>0</v>
      </c>
      <c r="U43" s="107">
        <f t="shared" si="8"/>
        <v>0</v>
      </c>
      <c r="V43" s="107">
        <f t="shared" si="8"/>
        <v>0</v>
      </c>
      <c r="W43" s="70">
        <f t="shared" si="8"/>
        <v>0</v>
      </c>
      <c r="X43" s="71">
        <f t="shared" si="8"/>
        <v>0</v>
      </c>
      <c r="Y43" s="124">
        <f t="shared" si="8"/>
        <v>0</v>
      </c>
      <c r="Z43" s="125">
        <f t="shared" si="8"/>
        <v>0</v>
      </c>
      <c r="AA43" s="125">
        <f t="shared" si="8"/>
        <v>0</v>
      </c>
      <c r="AB43" s="125">
        <f t="shared" si="8"/>
        <v>0</v>
      </c>
      <c r="AC43" s="125">
        <f t="shared" si="8"/>
        <v>0</v>
      </c>
      <c r="AD43" s="125">
        <f t="shared" si="8"/>
        <v>0</v>
      </c>
      <c r="AE43" s="125">
        <f t="shared" si="8"/>
        <v>0</v>
      </c>
      <c r="AF43" s="125"/>
      <c r="AG43" s="125"/>
      <c r="AH43" s="125"/>
      <c r="AI43" s="125"/>
      <c r="AJ43" s="125"/>
      <c r="AK43" s="125"/>
      <c r="AL43" s="125">
        <f t="shared" si="8"/>
        <v>0</v>
      </c>
      <c r="AM43" s="125">
        <f t="shared" si="8"/>
        <v>0</v>
      </c>
      <c r="AN43" s="125">
        <f t="shared" si="8"/>
        <v>0</v>
      </c>
      <c r="AO43" s="125">
        <f t="shared" si="8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144</v>
      </c>
      <c r="F46" s="40">
        <f>12*E46</f>
        <v>1728</v>
      </c>
      <c r="G46" s="40">
        <v>116</v>
      </c>
      <c r="H46" s="40">
        <f>G46*48</f>
        <v>5568</v>
      </c>
      <c r="I46" s="40">
        <v>144</v>
      </c>
      <c r="J46" s="40">
        <f>I46*12</f>
        <v>1728</v>
      </c>
      <c r="K46" s="40">
        <v>116</v>
      </c>
      <c r="L46" s="40">
        <f>K46*15</f>
        <v>1740</v>
      </c>
      <c r="M46" s="40">
        <v>116</v>
      </c>
      <c r="N46" s="40">
        <f>M46*6</f>
        <v>696</v>
      </c>
      <c r="O46" s="40">
        <v>272</v>
      </c>
      <c r="P46" s="40">
        <f>O46*4</f>
        <v>1088</v>
      </c>
      <c r="Q46" s="40">
        <v>1088</v>
      </c>
      <c r="R46" s="40">
        <v>272</v>
      </c>
      <c r="S46" s="40">
        <f>R46*4</f>
        <v>1088</v>
      </c>
      <c r="T46" s="40">
        <v>4964</v>
      </c>
      <c r="U46" s="40">
        <v>68</v>
      </c>
      <c r="V46" s="40">
        <f>U46*12</f>
        <v>816</v>
      </c>
      <c r="W46" s="40">
        <v>20</v>
      </c>
      <c r="X46" s="40">
        <v>52</v>
      </c>
      <c r="Y46" s="40">
        <f>X46*12</f>
        <v>624</v>
      </c>
      <c r="Z46" s="40">
        <v>1224</v>
      </c>
      <c r="AA46" s="40">
        <v>102</v>
      </c>
      <c r="AB46" s="40">
        <v>340</v>
      </c>
      <c r="AC46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2:AP46"/>
  <sheetViews>
    <sheetView showGridLines="0" workbookViewId="0">
      <pane xSplit="3" ySplit="7" topLeftCell="X32" activePane="bottomRight" state="frozen"/>
      <selection/>
      <selection pane="topRight"/>
      <selection pane="bottomLeft"/>
      <selection pane="bottomRight" activeCell="C12" sqref="C12:C20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42" width="13.5714285714286" style="1" customWidth="1"/>
    <col min="43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 t="s">
        <v>200</v>
      </c>
      <c r="L5" s="133"/>
      <c r="M5" s="133"/>
      <c r="N5" s="133"/>
    </row>
    <row r="6" ht="18.95" customHeight="1" spans="3:7">
      <c r="C6" s="4" t="s">
        <v>17</v>
      </c>
      <c r="D6" s="5" t="s">
        <v>63</v>
      </c>
      <c r="E6" s="6"/>
      <c r="F6" s="6"/>
      <c r="G6" s="6"/>
    </row>
    <row r="7" ht="18.95" customHeight="1" spans="3:7">
      <c r="C7" s="7" t="s">
        <v>18</v>
      </c>
      <c r="D7" s="5" t="s">
        <v>201</v>
      </c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2"/>
      <c r="AP10" s="145"/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55</v>
      </c>
      <c r="AG11" s="114"/>
      <c r="AH11" s="114" t="s">
        <v>56</v>
      </c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3" t="s">
        <v>58</v>
      </c>
      <c r="AP11" s="149" t="s">
        <v>59</v>
      </c>
    </row>
    <row r="12" spans="2:42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/>
      <c r="AG12" s="121"/>
      <c r="AH12" s="121"/>
      <c r="AI12" s="121"/>
      <c r="AJ12" s="121"/>
      <c r="AK12" s="121"/>
      <c r="AL12" s="121">
        <f t="shared" ref="AL12:AL42" si="0">AE12/3</f>
        <v>0</v>
      </c>
      <c r="AM12" s="120">
        <f>AL12</f>
        <v>0</v>
      </c>
      <c r="AN12" s="121">
        <f>AM12</f>
        <v>0</v>
      </c>
      <c r="AO12" s="154">
        <f>AD12+AF12+AG12+AH12+AI12+AJ12+AK12</f>
        <v>0</v>
      </c>
      <c r="AP12" s="151">
        <f>AC12-AO12</f>
        <v>0</v>
      </c>
    </row>
    <row r="13" spans="2:42">
      <c r="B13" s="25">
        <f t="shared" ref="B13:B42" si="1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2">10%*AC13</f>
        <v>0</v>
      </c>
      <c r="AE13" s="121">
        <f t="shared" ref="AE13:AE18" si="3">AC13-AD13</f>
        <v>0</v>
      </c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 t="shared" ref="AM13:AN28" si="4">AL13</f>
        <v>0</v>
      </c>
      <c r="AN13" s="121">
        <f t="shared" si="4"/>
        <v>0</v>
      </c>
      <c r="AO13" s="145">
        <f t="shared" ref="AO13:AO20" si="5">AD13+AF13+AG13+AH13+AI13+AJ13+AK13</f>
        <v>0</v>
      </c>
      <c r="AP13" s="151">
        <f>AC13-AO13</f>
        <v>0</v>
      </c>
    </row>
    <row r="14" spans="2:42">
      <c r="B14" s="25">
        <f t="shared" si="1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2"/>
        <v>0</v>
      </c>
      <c r="AE14" s="121">
        <f t="shared" si="3"/>
        <v>0</v>
      </c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4"/>
        <v>0</v>
      </c>
      <c r="AN14" s="121">
        <f t="shared" si="4"/>
        <v>0</v>
      </c>
      <c r="AO14" s="145">
        <f t="shared" si="5"/>
        <v>0</v>
      </c>
      <c r="AP14" s="151">
        <f t="shared" ref="AP14:AP19" si="6">AC14-AO14</f>
        <v>0</v>
      </c>
    </row>
    <row r="15" spans="1:42">
      <c r="A15" s="1" t="s">
        <v>313</v>
      </c>
      <c r="B15" s="25">
        <f t="shared" si="1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2"/>
        <v>0</v>
      </c>
      <c r="AE15" s="121">
        <f t="shared" si="3"/>
        <v>0</v>
      </c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4"/>
        <v>0</v>
      </c>
      <c r="AN15" s="121">
        <f t="shared" si="4"/>
        <v>0</v>
      </c>
      <c r="AO15" s="145">
        <f t="shared" si="5"/>
        <v>0</v>
      </c>
      <c r="AP15" s="151">
        <f t="shared" si="6"/>
        <v>0</v>
      </c>
    </row>
    <row r="16" spans="2:42">
      <c r="B16" s="25">
        <f t="shared" si="1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2"/>
        <v>0</v>
      </c>
      <c r="AE16" s="121">
        <f t="shared" si="3"/>
        <v>0</v>
      </c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4"/>
        <v>0</v>
      </c>
      <c r="AN16" s="121">
        <f t="shared" si="4"/>
        <v>0</v>
      </c>
      <c r="AO16" s="145">
        <f t="shared" si="5"/>
        <v>0</v>
      </c>
      <c r="AP16" s="151">
        <f t="shared" si="6"/>
        <v>0</v>
      </c>
    </row>
    <row r="17" spans="2:42">
      <c r="B17" s="25">
        <f t="shared" si="1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2"/>
        <v>0</v>
      </c>
      <c r="AE17" s="121">
        <f t="shared" si="3"/>
        <v>0</v>
      </c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 t="shared" si="4"/>
        <v>0</v>
      </c>
      <c r="AN17" s="121">
        <f t="shared" si="4"/>
        <v>0</v>
      </c>
      <c r="AO17" s="145">
        <f t="shared" si="5"/>
        <v>0</v>
      </c>
      <c r="AP17" s="151">
        <f t="shared" si="6"/>
        <v>0</v>
      </c>
    </row>
    <row r="18" spans="2:42">
      <c r="B18" s="25">
        <f t="shared" si="1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2"/>
        <v>0</v>
      </c>
      <c r="AE18" s="121">
        <f t="shared" si="3"/>
        <v>0</v>
      </c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>AL18</f>
        <v>0</v>
      </c>
      <c r="AN18" s="121">
        <f t="shared" si="4"/>
        <v>0</v>
      </c>
      <c r="AO18" s="145">
        <f t="shared" si="5"/>
        <v>0</v>
      </c>
      <c r="AP18" s="151">
        <f t="shared" si="6"/>
        <v>0</v>
      </c>
    </row>
    <row r="19" spans="2:42">
      <c r="B19" s="25">
        <f t="shared" si="1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2"/>
        <v>0</v>
      </c>
      <c r="AE19" s="121">
        <f t="shared" ref="AE19:AE42" si="7">AC19-AD19</f>
        <v>0</v>
      </c>
      <c r="AF19" s="121"/>
      <c r="AG19" s="121"/>
      <c r="AH19" s="121"/>
      <c r="AI19" s="121"/>
      <c r="AJ19" s="121"/>
      <c r="AK19" s="121"/>
      <c r="AL19" s="121">
        <f t="shared" si="0"/>
        <v>0</v>
      </c>
      <c r="AM19" s="120">
        <f t="shared" si="4"/>
        <v>0</v>
      </c>
      <c r="AN19" s="121">
        <f t="shared" si="4"/>
        <v>0</v>
      </c>
      <c r="AO19" s="145">
        <f t="shared" si="5"/>
        <v>0</v>
      </c>
      <c r="AP19" s="151">
        <f t="shared" si="6"/>
        <v>0</v>
      </c>
    </row>
    <row r="20" spans="2:42">
      <c r="B20" s="25">
        <f t="shared" si="1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2"/>
        <v>0</v>
      </c>
      <c r="AE20" s="121">
        <f t="shared" si="7"/>
        <v>0</v>
      </c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4"/>
        <v>0</v>
      </c>
      <c r="AN20" s="121">
        <f t="shared" si="4"/>
        <v>0</v>
      </c>
      <c r="AO20" s="145">
        <f t="shared" si="5"/>
        <v>0</v>
      </c>
      <c r="AP20" s="145"/>
    </row>
    <row r="21" spans="2:42">
      <c r="B21" s="25">
        <f t="shared" si="1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2"/>
        <v>0</v>
      </c>
      <c r="AE21" s="121">
        <f t="shared" si="7"/>
        <v>0</v>
      </c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4"/>
        <v>0</v>
      </c>
      <c r="AN21" s="121">
        <f t="shared" si="4"/>
        <v>0</v>
      </c>
      <c r="AO21" s="145"/>
      <c r="AP21" s="145"/>
    </row>
    <row r="22" spans="2:42">
      <c r="B22" s="25">
        <f t="shared" si="1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2"/>
        <v>0</v>
      </c>
      <c r="AE22" s="121">
        <f t="shared" si="7"/>
        <v>0</v>
      </c>
      <c r="AF22" s="121"/>
      <c r="AG22" s="121"/>
      <c r="AH22" s="121"/>
      <c r="AI22" s="121"/>
      <c r="AJ22" s="121"/>
      <c r="AK22" s="121"/>
      <c r="AL22" s="121">
        <f t="shared" si="0"/>
        <v>0</v>
      </c>
      <c r="AM22" s="120">
        <f t="shared" si="4"/>
        <v>0</v>
      </c>
      <c r="AN22" s="121">
        <f t="shared" si="4"/>
        <v>0</v>
      </c>
      <c r="AO22" s="145"/>
      <c r="AP22" s="145"/>
    </row>
    <row r="23" spans="2:42">
      <c r="B23" s="25">
        <f t="shared" si="1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2"/>
        <v>0</v>
      </c>
      <c r="AE23" s="121">
        <f t="shared" si="7"/>
        <v>0</v>
      </c>
      <c r="AF23" s="121"/>
      <c r="AG23" s="121"/>
      <c r="AH23" s="121"/>
      <c r="AI23" s="121"/>
      <c r="AJ23" s="121"/>
      <c r="AK23" s="121"/>
      <c r="AL23" s="121">
        <f t="shared" si="0"/>
        <v>0</v>
      </c>
      <c r="AM23" s="120">
        <f t="shared" si="4"/>
        <v>0</v>
      </c>
      <c r="AN23" s="121">
        <f t="shared" si="4"/>
        <v>0</v>
      </c>
      <c r="AO23" s="145"/>
      <c r="AP23" s="145"/>
    </row>
    <row r="24" spans="2:42">
      <c r="B24" s="25">
        <f t="shared" si="1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2"/>
        <v>0</v>
      </c>
      <c r="AE24" s="121">
        <f t="shared" si="7"/>
        <v>0</v>
      </c>
      <c r="AF24" s="121"/>
      <c r="AG24" s="121"/>
      <c r="AH24" s="121"/>
      <c r="AI24" s="121"/>
      <c r="AJ24" s="121"/>
      <c r="AK24" s="121"/>
      <c r="AL24" s="121">
        <f t="shared" si="0"/>
        <v>0</v>
      </c>
      <c r="AM24" s="120">
        <f t="shared" si="4"/>
        <v>0</v>
      </c>
      <c r="AN24" s="121">
        <f t="shared" si="4"/>
        <v>0</v>
      </c>
      <c r="AO24" s="145"/>
      <c r="AP24" s="145"/>
    </row>
    <row r="25" spans="2:41">
      <c r="B25" s="25">
        <f t="shared" si="1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2"/>
        <v>0</v>
      </c>
      <c r="AE25" s="121">
        <f t="shared" si="7"/>
        <v>0</v>
      </c>
      <c r="AF25" s="121"/>
      <c r="AG25" s="121"/>
      <c r="AH25" s="121"/>
      <c r="AI25" s="121"/>
      <c r="AJ25" s="121"/>
      <c r="AK25" s="121"/>
      <c r="AL25" s="121">
        <f t="shared" si="0"/>
        <v>0</v>
      </c>
      <c r="AM25" s="120">
        <f t="shared" si="4"/>
        <v>0</v>
      </c>
      <c r="AN25" s="121">
        <f t="shared" si="4"/>
        <v>0</v>
      </c>
      <c r="AO25" s="145"/>
    </row>
    <row r="26" spans="2:41">
      <c r="B26" s="25">
        <f t="shared" si="1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2"/>
        <v>0</v>
      </c>
      <c r="AE26" s="121">
        <f t="shared" si="7"/>
        <v>0</v>
      </c>
      <c r="AF26" s="121"/>
      <c r="AG26" s="121"/>
      <c r="AH26" s="121"/>
      <c r="AI26" s="121"/>
      <c r="AJ26" s="121"/>
      <c r="AK26" s="121"/>
      <c r="AL26" s="121">
        <f t="shared" si="0"/>
        <v>0</v>
      </c>
      <c r="AM26" s="120">
        <f t="shared" si="4"/>
        <v>0</v>
      </c>
      <c r="AN26" s="121">
        <f t="shared" si="4"/>
        <v>0</v>
      </c>
      <c r="AO26" s="145"/>
    </row>
    <row r="27" spans="2:41">
      <c r="B27" s="25">
        <f t="shared" si="1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2"/>
        <v>0</v>
      </c>
      <c r="AE27" s="121">
        <f t="shared" si="7"/>
        <v>0</v>
      </c>
      <c r="AF27" s="121"/>
      <c r="AG27" s="121"/>
      <c r="AH27" s="121"/>
      <c r="AI27" s="121"/>
      <c r="AJ27" s="121"/>
      <c r="AK27" s="121"/>
      <c r="AL27" s="121">
        <f t="shared" si="0"/>
        <v>0</v>
      </c>
      <c r="AM27" s="120">
        <f t="shared" si="4"/>
        <v>0</v>
      </c>
      <c r="AN27" s="121">
        <f t="shared" si="4"/>
        <v>0</v>
      </c>
      <c r="AO27" s="145"/>
    </row>
    <row r="28" spans="2:41">
      <c r="B28" s="25">
        <f t="shared" si="1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2"/>
        <v>0</v>
      </c>
      <c r="AE28" s="121">
        <f t="shared" si="7"/>
        <v>0</v>
      </c>
      <c r="AF28" s="121"/>
      <c r="AG28" s="121"/>
      <c r="AH28" s="121"/>
      <c r="AI28" s="121"/>
      <c r="AJ28" s="121"/>
      <c r="AK28" s="121"/>
      <c r="AL28" s="121">
        <f t="shared" si="0"/>
        <v>0</v>
      </c>
      <c r="AM28" s="120">
        <f t="shared" si="4"/>
        <v>0</v>
      </c>
      <c r="AN28" s="121">
        <f t="shared" si="4"/>
        <v>0</v>
      </c>
      <c r="AO28" s="145"/>
    </row>
    <row r="29" spans="2:41">
      <c r="B29" s="25">
        <f t="shared" si="1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2"/>
        <v>0</v>
      </c>
      <c r="AE29" s="121">
        <f t="shared" si="7"/>
        <v>0</v>
      </c>
      <c r="AF29" s="121"/>
      <c r="AG29" s="121"/>
      <c r="AH29" s="121"/>
      <c r="AI29" s="121"/>
      <c r="AJ29" s="121"/>
      <c r="AK29" s="121"/>
      <c r="AL29" s="121">
        <f t="shared" si="0"/>
        <v>0</v>
      </c>
      <c r="AM29" s="120">
        <f t="shared" ref="AM29:AN42" si="8">AL29</f>
        <v>0</v>
      </c>
      <c r="AN29" s="121">
        <f t="shared" si="8"/>
        <v>0</v>
      </c>
      <c r="AO29" s="145"/>
    </row>
    <row r="30" spans="2:41">
      <c r="B30" s="25">
        <f t="shared" si="1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2"/>
        <v>0</v>
      </c>
      <c r="AE30" s="121">
        <f t="shared" si="7"/>
        <v>0</v>
      </c>
      <c r="AF30" s="121"/>
      <c r="AG30" s="121"/>
      <c r="AH30" s="121"/>
      <c r="AI30" s="121"/>
      <c r="AJ30" s="121"/>
      <c r="AK30" s="121"/>
      <c r="AL30" s="121">
        <f t="shared" si="0"/>
        <v>0</v>
      </c>
      <c r="AM30" s="120">
        <f t="shared" si="8"/>
        <v>0</v>
      </c>
      <c r="AN30" s="121">
        <f t="shared" si="8"/>
        <v>0</v>
      </c>
      <c r="AO30" s="145"/>
    </row>
    <row r="31" spans="2:41">
      <c r="B31" s="25">
        <f t="shared" si="1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2"/>
        <v>0</v>
      </c>
      <c r="AE31" s="121">
        <f t="shared" si="7"/>
        <v>0</v>
      </c>
      <c r="AF31" s="121"/>
      <c r="AG31" s="121"/>
      <c r="AH31" s="121"/>
      <c r="AI31" s="121"/>
      <c r="AJ31" s="121"/>
      <c r="AK31" s="121"/>
      <c r="AL31" s="121">
        <f t="shared" si="0"/>
        <v>0</v>
      </c>
      <c r="AM31" s="120">
        <f t="shared" si="8"/>
        <v>0</v>
      </c>
      <c r="AN31" s="121">
        <f t="shared" si="8"/>
        <v>0</v>
      </c>
      <c r="AO31" s="145"/>
    </row>
    <row r="32" spans="2:41">
      <c r="B32" s="25">
        <f t="shared" si="1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2"/>
        <v>0</v>
      </c>
      <c r="AE32" s="121">
        <f t="shared" si="7"/>
        <v>0</v>
      </c>
      <c r="AF32" s="121"/>
      <c r="AG32" s="121"/>
      <c r="AH32" s="121"/>
      <c r="AI32" s="121"/>
      <c r="AJ32" s="121"/>
      <c r="AK32" s="121"/>
      <c r="AL32" s="121">
        <f t="shared" si="0"/>
        <v>0</v>
      </c>
      <c r="AM32" s="120">
        <f t="shared" si="8"/>
        <v>0</v>
      </c>
      <c r="AN32" s="121">
        <f t="shared" si="8"/>
        <v>0</v>
      </c>
      <c r="AO32" s="145"/>
    </row>
    <row r="33" spans="2:41">
      <c r="B33" s="25">
        <f t="shared" si="1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2"/>
        <v>0</v>
      </c>
      <c r="AE33" s="121">
        <f t="shared" si="7"/>
        <v>0</v>
      </c>
      <c r="AF33" s="121"/>
      <c r="AG33" s="121"/>
      <c r="AH33" s="121"/>
      <c r="AI33" s="121"/>
      <c r="AJ33" s="121"/>
      <c r="AK33" s="121"/>
      <c r="AL33" s="121">
        <f t="shared" si="0"/>
        <v>0</v>
      </c>
      <c r="AM33" s="120">
        <f t="shared" si="8"/>
        <v>0</v>
      </c>
      <c r="AN33" s="121">
        <f t="shared" si="8"/>
        <v>0</v>
      </c>
      <c r="AO33" s="145"/>
    </row>
    <row r="34" spans="2:41">
      <c r="B34" s="25">
        <f t="shared" si="1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2"/>
        <v>0</v>
      </c>
      <c r="AE34" s="121">
        <f t="shared" si="7"/>
        <v>0</v>
      </c>
      <c r="AF34" s="121"/>
      <c r="AG34" s="121"/>
      <c r="AH34" s="121"/>
      <c r="AI34" s="121"/>
      <c r="AJ34" s="121"/>
      <c r="AK34" s="121"/>
      <c r="AL34" s="121">
        <f t="shared" si="0"/>
        <v>0</v>
      </c>
      <c r="AM34" s="120">
        <f t="shared" si="8"/>
        <v>0</v>
      </c>
      <c r="AN34" s="121">
        <f t="shared" si="8"/>
        <v>0</v>
      </c>
      <c r="AO34" s="145"/>
    </row>
    <row r="35" spans="2:41">
      <c r="B35" s="25">
        <f t="shared" si="1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2"/>
        <v>0</v>
      </c>
      <c r="AE35" s="121">
        <f t="shared" si="7"/>
        <v>0</v>
      </c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8"/>
        <v>0</v>
      </c>
      <c r="AN35" s="121">
        <f t="shared" si="8"/>
        <v>0</v>
      </c>
      <c r="AO35" s="145"/>
    </row>
    <row r="36" spans="2:41">
      <c r="B36" s="25">
        <f t="shared" si="1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2"/>
        <v>0</v>
      </c>
      <c r="AE36" s="121">
        <f t="shared" si="7"/>
        <v>0</v>
      </c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8"/>
        <v>0</v>
      </c>
      <c r="AN36" s="121">
        <f t="shared" si="8"/>
        <v>0</v>
      </c>
      <c r="AO36" s="145"/>
    </row>
    <row r="37" spans="2:41">
      <c r="B37" s="25">
        <f t="shared" si="1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2"/>
        <v>0</v>
      </c>
      <c r="AE37" s="121">
        <f t="shared" si="7"/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8"/>
        <v>0</v>
      </c>
      <c r="AN37" s="121">
        <f t="shared" si="8"/>
        <v>0</v>
      </c>
      <c r="AO37" s="145"/>
    </row>
    <row r="38" spans="2:41">
      <c r="B38" s="25">
        <f t="shared" si="1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2"/>
        <v>0</v>
      </c>
      <c r="AE38" s="121">
        <f t="shared" si="7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8"/>
        <v>0</v>
      </c>
      <c r="AN38" s="121">
        <f t="shared" si="8"/>
        <v>0</v>
      </c>
      <c r="AO38" s="145"/>
    </row>
    <row r="39" spans="2:41">
      <c r="B39" s="25">
        <f t="shared" si="1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2"/>
        <v>0</v>
      </c>
      <c r="AE39" s="121">
        <f t="shared" si="7"/>
        <v>0</v>
      </c>
      <c r="AF39" s="121"/>
      <c r="AG39" s="121"/>
      <c r="AH39" s="121"/>
      <c r="AI39" s="121"/>
      <c r="AJ39" s="121"/>
      <c r="AK39" s="121"/>
      <c r="AL39" s="121">
        <f t="shared" si="0"/>
        <v>0</v>
      </c>
      <c r="AM39" s="120">
        <f t="shared" si="8"/>
        <v>0</v>
      </c>
      <c r="AN39" s="121">
        <f t="shared" si="8"/>
        <v>0</v>
      </c>
      <c r="AO39" s="145"/>
    </row>
    <row r="40" spans="2:41">
      <c r="B40" s="25">
        <f t="shared" si="1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2"/>
        <v>0</v>
      </c>
      <c r="AE40" s="121">
        <f t="shared" si="7"/>
        <v>0</v>
      </c>
      <c r="AF40" s="121"/>
      <c r="AG40" s="121"/>
      <c r="AH40" s="121"/>
      <c r="AI40" s="121"/>
      <c r="AJ40" s="121"/>
      <c r="AK40" s="121"/>
      <c r="AL40" s="121">
        <f t="shared" si="0"/>
        <v>0</v>
      </c>
      <c r="AM40" s="120">
        <f t="shared" si="8"/>
        <v>0</v>
      </c>
      <c r="AN40" s="121">
        <f t="shared" si="8"/>
        <v>0</v>
      </c>
      <c r="AO40" s="145"/>
    </row>
    <row r="41" spans="2:41">
      <c r="B41" s="25">
        <f t="shared" si="1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2"/>
        <v>0</v>
      </c>
      <c r="AE41" s="121">
        <f t="shared" si="7"/>
        <v>0</v>
      </c>
      <c r="AF41" s="121"/>
      <c r="AG41" s="121"/>
      <c r="AH41" s="121"/>
      <c r="AI41" s="121"/>
      <c r="AJ41" s="121"/>
      <c r="AK41" s="121"/>
      <c r="AL41" s="121">
        <f t="shared" si="0"/>
        <v>0</v>
      </c>
      <c r="AM41" s="120">
        <f t="shared" si="8"/>
        <v>0</v>
      </c>
      <c r="AN41" s="121">
        <f t="shared" si="8"/>
        <v>0</v>
      </c>
      <c r="AO41" s="145"/>
    </row>
    <row r="42" spans="2:41">
      <c r="B42" s="25">
        <f t="shared" si="1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2"/>
        <v>0</v>
      </c>
      <c r="AE42" s="121">
        <f t="shared" si="7"/>
        <v>0</v>
      </c>
      <c r="AF42" s="135"/>
      <c r="AG42" s="135"/>
      <c r="AH42" s="135"/>
      <c r="AI42" s="135"/>
      <c r="AJ42" s="135"/>
      <c r="AK42" s="135"/>
      <c r="AL42" s="123">
        <f t="shared" si="0"/>
        <v>0</v>
      </c>
      <c r="AM42" s="130">
        <f t="shared" si="8"/>
        <v>0</v>
      </c>
      <c r="AN42" s="123">
        <f t="shared" si="8"/>
        <v>0</v>
      </c>
      <c r="AO42" s="145"/>
    </row>
    <row r="43" ht="18.95" customHeight="1" spans="2:41">
      <c r="B43" s="34" t="s">
        <v>61</v>
      </c>
      <c r="C43" s="35">
        <f>COUNTA(C12:C42)</f>
        <v>0</v>
      </c>
      <c r="D43" s="36"/>
      <c r="E43" s="37">
        <f t="shared" ref="E43:AO43" si="9">SUM(E12:E42)</f>
        <v>0</v>
      </c>
      <c r="F43" s="37">
        <f t="shared" si="9"/>
        <v>0</v>
      </c>
      <c r="G43" s="38">
        <f t="shared" si="9"/>
        <v>0</v>
      </c>
      <c r="H43" s="38">
        <f t="shared" si="9"/>
        <v>0</v>
      </c>
      <c r="I43" s="70">
        <f t="shared" si="9"/>
        <v>0</v>
      </c>
      <c r="J43" s="70">
        <f t="shared" si="9"/>
        <v>0</v>
      </c>
      <c r="K43" s="71">
        <f t="shared" si="9"/>
        <v>0</v>
      </c>
      <c r="L43" s="71">
        <f t="shared" si="9"/>
        <v>0</v>
      </c>
      <c r="M43" s="72">
        <f t="shared" si="9"/>
        <v>0</v>
      </c>
      <c r="N43" s="72">
        <f t="shared" si="9"/>
        <v>0</v>
      </c>
      <c r="O43" s="71">
        <f t="shared" si="9"/>
        <v>0</v>
      </c>
      <c r="P43" s="71">
        <f t="shared" si="9"/>
        <v>0</v>
      </c>
      <c r="Q43" s="104">
        <f t="shared" si="9"/>
        <v>0</v>
      </c>
      <c r="R43" s="105">
        <f t="shared" si="9"/>
        <v>0</v>
      </c>
      <c r="S43" s="105">
        <f t="shared" si="9"/>
        <v>0</v>
      </c>
      <c r="T43" s="106">
        <f t="shared" si="9"/>
        <v>0</v>
      </c>
      <c r="U43" s="107">
        <f t="shared" si="9"/>
        <v>0</v>
      </c>
      <c r="V43" s="107">
        <f t="shared" si="9"/>
        <v>0</v>
      </c>
      <c r="W43" s="70">
        <f t="shared" si="9"/>
        <v>0</v>
      </c>
      <c r="X43" s="71">
        <f t="shared" si="9"/>
        <v>0</v>
      </c>
      <c r="Y43" s="124">
        <f t="shared" si="9"/>
        <v>0</v>
      </c>
      <c r="Z43" s="125">
        <f t="shared" si="9"/>
        <v>0</v>
      </c>
      <c r="AA43" s="125">
        <f t="shared" si="9"/>
        <v>0</v>
      </c>
      <c r="AB43" s="125">
        <f t="shared" si="9"/>
        <v>0</v>
      </c>
      <c r="AC43" s="125">
        <f t="shared" si="9"/>
        <v>0</v>
      </c>
      <c r="AD43" s="125">
        <f t="shared" si="9"/>
        <v>0</v>
      </c>
      <c r="AE43" s="125">
        <f t="shared" si="9"/>
        <v>0</v>
      </c>
      <c r="AF43" s="125"/>
      <c r="AG43" s="125"/>
      <c r="AH43" s="125"/>
      <c r="AI43" s="125"/>
      <c r="AJ43" s="125"/>
      <c r="AK43" s="125"/>
      <c r="AL43" s="125">
        <f t="shared" si="9"/>
        <v>0</v>
      </c>
      <c r="AM43" s="125">
        <f t="shared" si="9"/>
        <v>0</v>
      </c>
      <c r="AN43" s="125">
        <f t="shared" si="9"/>
        <v>0</v>
      </c>
      <c r="AO43" s="125">
        <f t="shared" si="9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144</v>
      </c>
      <c r="F46" s="40">
        <f>12*E46</f>
        <v>1728</v>
      </c>
      <c r="G46" s="40">
        <v>116</v>
      </c>
      <c r="H46" s="40">
        <f>G46*48</f>
        <v>5568</v>
      </c>
      <c r="I46" s="40">
        <v>144</v>
      </c>
      <c r="J46" s="40">
        <f>I46*12</f>
        <v>1728</v>
      </c>
      <c r="K46" s="40">
        <v>116</v>
      </c>
      <c r="L46" s="40">
        <f>K46*15</f>
        <v>1740</v>
      </c>
      <c r="M46" s="40">
        <v>116</v>
      </c>
      <c r="N46" s="40">
        <f>M46*6</f>
        <v>696</v>
      </c>
      <c r="O46" s="40">
        <v>272</v>
      </c>
      <c r="P46" s="40">
        <f>O46*4</f>
        <v>1088</v>
      </c>
      <c r="Q46" s="40">
        <v>1088</v>
      </c>
      <c r="R46" s="40">
        <v>272</v>
      </c>
      <c r="S46" s="40">
        <f>R46*4</f>
        <v>1088</v>
      </c>
      <c r="T46" s="40">
        <v>4964</v>
      </c>
      <c r="U46" s="40">
        <v>82</v>
      </c>
      <c r="V46" s="40">
        <f>U46*12</f>
        <v>984</v>
      </c>
      <c r="W46" s="40">
        <v>20</v>
      </c>
      <c r="X46" s="40">
        <v>79</v>
      </c>
      <c r="Y46" s="40">
        <f>X46*12</f>
        <v>948</v>
      </c>
      <c r="Z46" s="40">
        <v>1224</v>
      </c>
      <c r="AA46" s="40">
        <v>116</v>
      </c>
      <c r="AB46" s="40">
        <v>340</v>
      </c>
      <c r="AC46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AP45"/>
  <sheetViews>
    <sheetView showGridLines="0" workbookViewId="0">
      <pane xSplit="3" ySplit="7" topLeftCell="V34" activePane="bottomRight" state="frozen"/>
      <selection/>
      <selection pane="topRight"/>
      <selection pane="bottomLeft"/>
      <selection pane="bottomRight" activeCell="C12" sqref="C12:C17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2" width="15.4285714285714" style="1" customWidth="1"/>
    <col min="33" max="33" width="11.8571428571429" style="1" customWidth="1"/>
    <col min="34" max="34" width="11.7142857142857" style="1" customWidth="1"/>
    <col min="35" max="35" width="10.8571428571429" style="1" customWidth="1"/>
    <col min="36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42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6" t="s">
        <v>58</v>
      </c>
      <c r="AP10" s="147" t="s">
        <v>59</v>
      </c>
    </row>
    <row r="11" ht="32.45" customHeight="1" spans="2:42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4" t="s">
        <v>55</v>
      </c>
      <c r="AG11" s="114" t="s">
        <v>56</v>
      </c>
      <c r="AH11" s="114" t="s">
        <v>57</v>
      </c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8"/>
      <c r="AP11" s="149"/>
    </row>
    <row r="12" spans="2:42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(E12*E45)+(F12*F45)+(G12*G45)+(H12*H45)+(I12*I45)+(J12*J45)+(K12*K45)+(L12*L45)+(M12*M45)+(N12*N45)+(O12*O45)+(P12*P45)+(Q12*Q45)+(R12*R45)+(S12*S45)+(T12*T45)+(U12*U45)+(V12*V45)+(W12*W45)+(X12*X45)+(Y12*Y45)+(Z12*Z45)+(AA12*AA45)+(AB12*AB45)</f>
        <v>0</v>
      </c>
      <c r="AD12" s="120">
        <f>10%*AC12</f>
        <v>0</v>
      </c>
      <c r="AE12" s="121">
        <f>AC12-AD12</f>
        <v>0</v>
      </c>
      <c r="AF12" s="121"/>
      <c r="AG12" s="121"/>
      <c r="AH12" s="121"/>
      <c r="AI12" s="121"/>
      <c r="AJ12" s="121"/>
      <c r="AK12" s="121"/>
      <c r="AL12" s="121">
        <f t="shared" ref="AL12:AL21" si="0">AE12/3</f>
        <v>0</v>
      </c>
      <c r="AM12" s="120">
        <f>AL12</f>
        <v>0</v>
      </c>
      <c r="AN12" s="121">
        <f>AM12</f>
        <v>0</v>
      </c>
      <c r="AO12" s="150">
        <f>AD12+AF12+AG12+AH12+AI12+AJ12+AK12</f>
        <v>0</v>
      </c>
      <c r="AP12" s="151">
        <f>AC12-AO12</f>
        <v>0</v>
      </c>
    </row>
    <row r="13" spans="2:42">
      <c r="B13" s="25">
        <f t="shared" ref="B13:B41" si="1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(E13*E45)+(F13*F45)+(G13*G45)+(H13*H45)+(I13*I45)+(J13*J45)+(K13*K45)+(L13*L45)+(M13*M45)+(N13*N45)+(O13*O45)+(P13*P45)+(Q13*Q45)+(R13*R45)+(S13*S45)+(T13*T45)+(U13*U45)+(V13*V45)+(W13*W45)+(X13*X45)+(Y13*Y45)+(Z13*Z45)+(AA13*AA45)+(AB13*AB45)</f>
        <v>0</v>
      </c>
      <c r="AD13" s="120">
        <f t="shared" ref="AD13:AD41" si="2">10%*AC13</f>
        <v>0</v>
      </c>
      <c r="AE13" s="121">
        <f t="shared" ref="AE13:AE41" si="3">AC13-AD13</f>
        <v>0</v>
      </c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>AL13</f>
        <v>0</v>
      </c>
      <c r="AN13" s="121">
        <f t="shared" ref="AM13:AN21" si="4">AM13</f>
        <v>0</v>
      </c>
      <c r="AO13" s="150">
        <f t="shared" ref="AO13:AO18" si="5">AD13+AF13+AG13+AH13+AI13+AJ13+AK13</f>
        <v>0</v>
      </c>
      <c r="AP13" s="151">
        <f t="shared" ref="AP13:AP18" si="6">AC13-AO13</f>
        <v>0</v>
      </c>
    </row>
    <row r="14" spans="2:42">
      <c r="B14" s="25">
        <f t="shared" si="1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(E14*E45)+(F14*F45)+(G14*G45)+(H14*H45)+(I14*I45)+(J14*J45)+(K14*K45)+(L14*L45)+(M14*M45)+(N14*N45)+(O14*O45)+(P14*P45)+(Q14*Q45)+(R14*R45)+(S14*S45)+(T14*T45)+(U14*U45)+(V14*V45)+(W14*W45)+(X14*X45)+(Y14*Y45)+(Z14*Z45)+(AA14*AA45)+(AB14*AB45)</f>
        <v>0</v>
      </c>
      <c r="AD14" s="120">
        <f t="shared" si="2"/>
        <v>0</v>
      </c>
      <c r="AE14" s="121">
        <f t="shared" si="3"/>
        <v>0</v>
      </c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4"/>
        <v>0</v>
      </c>
      <c r="AN14" s="121">
        <f t="shared" si="4"/>
        <v>0</v>
      </c>
      <c r="AO14" s="150">
        <f t="shared" si="5"/>
        <v>0</v>
      </c>
      <c r="AP14" s="151">
        <f t="shared" si="6"/>
        <v>0</v>
      </c>
    </row>
    <row r="15" spans="2:42">
      <c r="B15" s="25">
        <f t="shared" si="1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(E15*E45)+(F15*F45)+(G15*G45)+(H15*H45)+(I15*I45)+(J15*J45)+(K15*K45)+(L15*L45)+(M15*M45)+(N15*N45)+(O15*O45)+(P15*P45)+(Q15*Q45)+(R15*R45)+(S15*S45)+(T15*T45)+(U15*U45)+(V15*V45)+(W15*W45)+(X15*X45)+(Y15*Y45)+(Z15*Z45)+(AA15*AA45)+(AB15*AB45)</f>
        <v>0</v>
      </c>
      <c r="AD15" s="120">
        <f t="shared" si="2"/>
        <v>0</v>
      </c>
      <c r="AE15" s="121">
        <f t="shared" si="3"/>
        <v>0</v>
      </c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4"/>
        <v>0</v>
      </c>
      <c r="AN15" s="121">
        <f t="shared" si="4"/>
        <v>0</v>
      </c>
      <c r="AO15" s="150">
        <f t="shared" si="5"/>
        <v>0</v>
      </c>
      <c r="AP15" s="151">
        <f t="shared" si="6"/>
        <v>0</v>
      </c>
    </row>
    <row r="16" spans="2:42">
      <c r="B16" s="25">
        <f t="shared" si="1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(E16*E45)+(F16*F45)+(G16*G45)+(H16*H45)+(I16*I45)+(J16*J45)+(K16*K45)+(L16*L45)+(M16*M45)+(N16*N45)+(O16*O45)+(P16*P45)+(Q16*Q45)+(R16*R45)+(S16*S45)+(T16*T45)+(U16*U45)+(V16*V45)+(W16*W45)+(X16*X45)+(Y16*Y45)+(Z16*Z45)+(AA16*AA45)+(AB16*AB45)</f>
        <v>0</v>
      </c>
      <c r="AD16" s="120">
        <f t="shared" si="2"/>
        <v>0</v>
      </c>
      <c r="AE16" s="121">
        <f t="shared" si="3"/>
        <v>0</v>
      </c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4"/>
        <v>0</v>
      </c>
      <c r="AN16" s="121">
        <f t="shared" si="4"/>
        <v>0</v>
      </c>
      <c r="AO16" s="150">
        <f t="shared" si="5"/>
        <v>0</v>
      </c>
      <c r="AP16" s="151">
        <f t="shared" si="6"/>
        <v>0</v>
      </c>
    </row>
    <row r="17" spans="2:42">
      <c r="B17" s="25">
        <f t="shared" si="1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(E17*E45)+(F17*F45)+(G17*G45)+(H17*H45)+(I17*I45)+(J17*J45)+(K17*K45)+(L17*L45)+(M17*M45)+(N17*N45)+(O17*O45)+(P17*P45)+(Q17*Q45)+(R17*R45)+(S17*S45)+(T17*T45)+(U17*U45)+(V17*V45)+(W17*W45)+(X17*X45)+(Y17*Y45)+(Z17*Z45)+(AA17*AA45)+(AB17*AB45)</f>
        <v>0</v>
      </c>
      <c r="AD17" s="120">
        <f t="shared" si="2"/>
        <v>0</v>
      </c>
      <c r="AE17" s="121">
        <f t="shared" si="3"/>
        <v>0</v>
      </c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>AL17</f>
        <v>0</v>
      </c>
      <c r="AN17" s="121">
        <f t="shared" si="4"/>
        <v>0</v>
      </c>
      <c r="AO17" s="150">
        <f t="shared" si="5"/>
        <v>0</v>
      </c>
      <c r="AP17" s="151">
        <f t="shared" si="6"/>
        <v>0</v>
      </c>
    </row>
    <row r="18" spans="2:42">
      <c r="B18" s="25">
        <f t="shared" si="1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(E18*E45)+(F18*F45)+(G18*G45)+(H18*H45)+(I18*I45)+(J18*J45)+(K18*K45)+(L18*L45)+(M18*M45)+(N18*N45)+(O18*O45)+(P18*P45)+(Q18*Q45)+(R18*R45)+(S18*S45)+(T18*T45)+(U18*U45)+(V18*V45)+(W18*W45)+(X18*X45)+(Y18*Y45)+(Z18*Z45)+(AA18*AA45)+(AB18*AB45)</f>
        <v>0</v>
      </c>
      <c r="AD18" s="120">
        <f t="shared" si="2"/>
        <v>0</v>
      </c>
      <c r="AE18" s="121">
        <f t="shared" si="3"/>
        <v>0</v>
      </c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 t="shared" si="4"/>
        <v>0</v>
      </c>
      <c r="AN18" s="121">
        <f t="shared" si="4"/>
        <v>0</v>
      </c>
      <c r="AO18" s="152">
        <f t="shared" si="5"/>
        <v>0</v>
      </c>
      <c r="AP18" s="151">
        <f t="shared" si="6"/>
        <v>0</v>
      </c>
    </row>
    <row r="19" spans="2:42">
      <c r="B19" s="25">
        <f t="shared" si="1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(E19*E45)+(F19*F45)+(G19*G45)+(H19*H45)+(I19*I45)+(J19*J45)+(K19*K45)+(L19*L45)+(M19*M45)+(N19*N45)+(O19*O45)+(P19*P45)+(Q19*Q45)+(R19*R45)+(S19*S45)+(T19*T45)+(U19*U45)+(V19*V45)+(W19*W45)+(X19*X45)+(Y19*Y45)+(Z19*Z45)+(AA19*AA45)+(AB19*AB45)</f>
        <v>0</v>
      </c>
      <c r="AD19" s="120">
        <f t="shared" si="2"/>
        <v>0</v>
      </c>
      <c r="AE19" s="121">
        <f t="shared" si="3"/>
        <v>0</v>
      </c>
      <c r="AF19" s="121"/>
      <c r="AG19" s="121" t="s">
        <v>313</v>
      </c>
      <c r="AH19" s="121"/>
      <c r="AI19" s="121"/>
      <c r="AJ19" s="121"/>
      <c r="AK19" s="121"/>
      <c r="AL19" s="121">
        <f t="shared" si="0"/>
        <v>0</v>
      </c>
      <c r="AM19" s="120">
        <f t="shared" si="4"/>
        <v>0</v>
      </c>
      <c r="AN19" s="121">
        <f t="shared" si="4"/>
        <v>0</v>
      </c>
      <c r="AO19" s="153"/>
      <c r="AP19" s="145"/>
    </row>
    <row r="20" spans="2:42">
      <c r="B20" s="25">
        <f t="shared" si="1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(E20*E45)+(F20*F45)+(G20*G45)+(H20*H45)+(I20*I45)+(J20*J45)+(K20*K45)+(L20*L45)+(M20*M45)+(N20*N45)+(O20*O45)+(P20*P45)+(Q20*Q45)+(R20*R45)+(S20*S45)+(T20*T45)+(U20*U45)+(V20*V45)+(W20*W45)+(X20*X45)+(Y20*Y45)+(Z20*Z45)+(AA20*AA45)+(AB20*AB45)</f>
        <v>0</v>
      </c>
      <c r="AD20" s="120">
        <f t="shared" si="2"/>
        <v>0</v>
      </c>
      <c r="AE20" s="121">
        <f t="shared" si="3"/>
        <v>0</v>
      </c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4"/>
        <v>0</v>
      </c>
      <c r="AN20" s="121">
        <f t="shared" si="4"/>
        <v>0</v>
      </c>
      <c r="AO20" s="153"/>
      <c r="AP20" s="145"/>
    </row>
    <row r="21" spans="2:42">
      <c r="B21" s="25">
        <f t="shared" si="1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(E21*E45)+(F21*F45)+(G21*G45)+(H21*H45)+(I21*I45)+(J21*J45)+(K21*K45)+(L21*L45)+(M21*M45)+(N21*N45)+(O21*O45)+(P21*P45)+(Q21*Q45)+(R21*R45)+(S21*S45)+(T21*T45)+(U21*U45)+(V21*V45)+(W21*W45)+(X21*X45)+(Y21*Y45)+(Z21*Z45)+(AA21*AA45)+(AB21*AB45)</f>
        <v>0</v>
      </c>
      <c r="AD21" s="120">
        <f t="shared" si="2"/>
        <v>0</v>
      </c>
      <c r="AE21" s="121">
        <f t="shared" si="3"/>
        <v>0</v>
      </c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4"/>
        <v>0</v>
      </c>
      <c r="AN21" s="121">
        <f t="shared" si="4"/>
        <v>0</v>
      </c>
      <c r="AO21" s="153"/>
      <c r="AP21" s="145"/>
    </row>
    <row r="22" spans="2:42">
      <c r="B22" s="25">
        <f t="shared" si="1"/>
        <v>11</v>
      </c>
      <c r="C22" s="32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(E22*E45)+(F22*F45)+(G22*G45)+(H22*H45)+(I22*I45)+(J22*J45)+(K22*K45)+(L22*L45)+(M22*M45)+(N22*N45)+(O22*O45)+(P22*P45)+(Q22*Q45)+(R22*R45)+(S22*S45)+(T22*T45)+(U22*U45)+(V22*V45)+(W22*W45)+(X22*X45)+(Y22*Y45)+(Z22*Z45)+(AA22*AA45)+(AB22*AB45)</f>
        <v>0</v>
      </c>
      <c r="AD22" s="120">
        <f t="shared" si="2"/>
        <v>0</v>
      </c>
      <c r="AE22" s="121">
        <f t="shared" si="3"/>
        <v>0</v>
      </c>
      <c r="AF22" s="121"/>
      <c r="AG22" s="121">
        <f t="shared" ref="AG22:AG41" si="7">AE22/3</f>
        <v>0</v>
      </c>
      <c r="AH22" s="120">
        <f t="shared" ref="AH22:AI27" si="8">AG22</f>
        <v>0</v>
      </c>
      <c r="AI22" s="121">
        <f t="shared" si="8"/>
        <v>0</v>
      </c>
      <c r="AJ22" s="145"/>
      <c r="AK22" s="145"/>
      <c r="AL22" s="145"/>
      <c r="AM22" s="145"/>
      <c r="AN22" s="145"/>
      <c r="AO22" s="145"/>
      <c r="AP22" s="145"/>
    </row>
    <row r="23" spans="2:42">
      <c r="B23" s="25">
        <f t="shared" si="1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(E23*E45)+(F23*F45)+(G23*G45)+(H23*H45)+(I23*I45)+(J23*J45)+(K23*K45)+(L23*L45)+(M23*M45)+(N23*N45)+(O23*O45)+(P23*P45)+(Q23*Q45)+(R23*R45)+(S23*S45)+(T23*T45)+(U23*U45)+(V23*V45)+(W23*W45)+(X23*X45)+(Y23*Y45)+(Z23*Z45)+(AA23*AA45)+(AB23*AB45)</f>
        <v>0</v>
      </c>
      <c r="AD23" s="120">
        <f t="shared" si="2"/>
        <v>0</v>
      </c>
      <c r="AE23" s="121">
        <f t="shared" si="3"/>
        <v>0</v>
      </c>
      <c r="AF23" s="121"/>
      <c r="AG23" s="121">
        <f t="shared" si="7"/>
        <v>0</v>
      </c>
      <c r="AH23" s="120">
        <f t="shared" si="8"/>
        <v>0</v>
      </c>
      <c r="AI23" s="121">
        <f t="shared" si="8"/>
        <v>0</v>
      </c>
      <c r="AJ23" s="145"/>
      <c r="AK23" s="145"/>
      <c r="AL23" s="145"/>
      <c r="AM23" s="145"/>
      <c r="AN23" s="145"/>
      <c r="AO23" s="145"/>
      <c r="AP23" s="145"/>
    </row>
    <row r="24" spans="2:42">
      <c r="B24" s="25">
        <f t="shared" si="1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(E24*E45)+(F24*F45)+(G24*G45)+(H24*H45)+(I24*I45)+(J24*J45)+(K24*J45)+(L24*L45)+(M24*M45)+(N24*N45)+(O24*O45)+(P24*P45)+(Q24*Q45)+(R24*R45)+(S24*S45)+(T24*T45)+(U24*U45)+(V24*V45)+(W24*W45)+(X24*X45)+(Y24*Y45)+(Z24*Z45)+(AA24*AA45)+(AB24*AB45)</f>
        <v>0</v>
      </c>
      <c r="AD24" s="120">
        <f t="shared" si="2"/>
        <v>0</v>
      </c>
      <c r="AE24" s="121">
        <f t="shared" si="3"/>
        <v>0</v>
      </c>
      <c r="AF24" s="121"/>
      <c r="AG24" s="121">
        <f t="shared" si="7"/>
        <v>0</v>
      </c>
      <c r="AH24" s="120">
        <f t="shared" si="8"/>
        <v>0</v>
      </c>
      <c r="AI24" s="121">
        <f t="shared" si="8"/>
        <v>0</v>
      </c>
      <c r="AJ24" s="145"/>
      <c r="AK24" s="145"/>
      <c r="AL24" s="145"/>
      <c r="AM24" s="145"/>
      <c r="AN24" s="145"/>
      <c r="AO24" s="145"/>
      <c r="AP24" s="145"/>
    </row>
    <row r="25" spans="2:42">
      <c r="B25" s="25">
        <f t="shared" si="1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(E25*E45)+(F25*F45)+(G25*G45)+(H25*H45)+(I25*I45)+(J25*J45)+(K25*K45)+(L25*L45)+(M25*M45)+(N25*N45)+(O25*O45)+(P25*P45)+(Q25*Q45)+(R25*R45)+(S25*S45)+(T25*T45)+(U25*U45)+(V25*V45)+(W25*W45)+(X25*X45)+(Y25*Y45)+(Z25*Z45)+(AA25*AA45)+(AB25*AB45)</f>
        <v>0</v>
      </c>
      <c r="AD25" s="120">
        <f t="shared" si="2"/>
        <v>0</v>
      </c>
      <c r="AE25" s="121">
        <f t="shared" si="3"/>
        <v>0</v>
      </c>
      <c r="AF25" s="121"/>
      <c r="AG25" s="121">
        <f t="shared" si="7"/>
        <v>0</v>
      </c>
      <c r="AH25" s="120">
        <f t="shared" si="8"/>
        <v>0</v>
      </c>
      <c r="AI25" s="121">
        <f t="shared" si="8"/>
        <v>0</v>
      </c>
      <c r="AJ25" s="145"/>
      <c r="AK25" s="145"/>
      <c r="AL25" s="145"/>
      <c r="AM25" s="145"/>
      <c r="AN25" s="145"/>
      <c r="AO25" s="145"/>
      <c r="AP25" s="145"/>
    </row>
    <row r="26" spans="2:42">
      <c r="B26" s="25">
        <f t="shared" si="1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(E26*E45)+(F26*F45)+(G26*G45)+(H26*H45)+(I26*I45)+(J26*J45)+(K26*K45)+(L26*L45)+(M26*M45)+(N26*N45)+(O26*O45)+(P26*P45)+(Q26*Q45)+(R26*R45)+(S26*S45)+(T26*T45)+(U26*U45)+(V26*V45)+(W26*W45)+(X26*X45)+(Y26*Y45)+(Z26*Z45)+(AA26*AA45)+(AB26*AB45)</f>
        <v>0</v>
      </c>
      <c r="AD26" s="120">
        <f t="shared" si="2"/>
        <v>0</v>
      </c>
      <c r="AE26" s="121">
        <f t="shared" si="3"/>
        <v>0</v>
      </c>
      <c r="AF26" s="121"/>
      <c r="AG26" s="121">
        <f t="shared" si="7"/>
        <v>0</v>
      </c>
      <c r="AH26" s="120">
        <f t="shared" si="8"/>
        <v>0</v>
      </c>
      <c r="AI26" s="121">
        <f t="shared" si="8"/>
        <v>0</v>
      </c>
      <c r="AJ26" s="145"/>
      <c r="AK26" s="145"/>
      <c r="AL26" s="145"/>
      <c r="AM26" s="145"/>
      <c r="AN26" s="145"/>
      <c r="AO26" s="145"/>
      <c r="AP26" s="145"/>
    </row>
    <row r="27" spans="2:42">
      <c r="B27" s="25">
        <f t="shared" si="1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(E27*E45)+(F27*F45)+(G27*G45)+(H27*H45)+(I27*I45)+(J27*J45)+(K27*J45)+(L27*L45)+(M27*M45)+(N27*N45)+(O27*O45)+(P27*P45)+(Q27*Q45)+(R27*R45)+(S27*S45)+(T27*T45)+(U27*U45)+(V27*V45)+(W27*W45)+(X27*X45)+(Y27*Y45)+(Z27*Z45)+(AA27*AA45)+(AB27*AB45)</f>
        <v>0</v>
      </c>
      <c r="AD27" s="120">
        <f t="shared" si="2"/>
        <v>0</v>
      </c>
      <c r="AE27" s="121">
        <f t="shared" si="3"/>
        <v>0</v>
      </c>
      <c r="AF27" s="121"/>
      <c r="AG27" s="121">
        <f t="shared" si="7"/>
        <v>0</v>
      </c>
      <c r="AH27" s="120">
        <f t="shared" si="8"/>
        <v>0</v>
      </c>
      <c r="AI27" s="121">
        <f t="shared" si="8"/>
        <v>0</v>
      </c>
      <c r="AJ27" s="145"/>
      <c r="AK27" s="145"/>
      <c r="AL27" s="145"/>
      <c r="AM27" s="145"/>
      <c r="AN27" s="145"/>
      <c r="AO27" s="145"/>
      <c r="AP27" s="145"/>
    </row>
    <row r="28" spans="2:42">
      <c r="B28" s="25">
        <f t="shared" si="1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(E28*E45)+(F28*F45)+(G28*G45)+(H28*H45)+(I28*I45)+(J28*J45)+(K28*K45)+(L28*L45)+(M28*M45)+(N28*N45)+(O28*O45)+(P28*P45)+(Q28*Q45)+(R28*R45)+(S28*S45)+(T28*T45)+(U28*U45)+(V28*V45)+(W28*W45)+(X28*X45)+(Y28*Y45)+(Z28*Z45)+(AA28*AA45)+(AB28*AB45)</f>
        <v>0</v>
      </c>
      <c r="AD28" s="120">
        <f t="shared" si="2"/>
        <v>0</v>
      </c>
      <c r="AE28" s="121">
        <f t="shared" si="3"/>
        <v>0</v>
      </c>
      <c r="AF28" s="121"/>
      <c r="AG28" s="121">
        <f t="shared" si="7"/>
        <v>0</v>
      </c>
      <c r="AH28" s="120">
        <f t="shared" ref="AH28:AI41" si="9">AG28</f>
        <v>0</v>
      </c>
      <c r="AI28" s="121">
        <f t="shared" si="9"/>
        <v>0</v>
      </c>
      <c r="AJ28" s="145"/>
      <c r="AK28" s="145"/>
      <c r="AL28" s="145"/>
      <c r="AM28" s="145"/>
      <c r="AN28" s="145"/>
      <c r="AO28" s="145"/>
      <c r="AP28" s="145"/>
    </row>
    <row r="29" spans="2:42">
      <c r="B29" s="25">
        <f t="shared" si="1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(E29*E45)+(F29*F45)+(G29*G45)+(H29*H45)+(I29*I45)+(J29*J45)+(K29*K45)+(L29*L45)+(M29*M45)+(N29*N45)+(O29*O45)+(P29*P45)+(Q29*Q45)+(R29*R45)+(S29*S45)+(T29*T45)+(U29*U45)+(V29*V45)+(W29*W45)+(X29*X45)+(Y29*Y45)+(Z29*Z45)+(AA29*AA45)+(AB29*AB45)</f>
        <v>0</v>
      </c>
      <c r="AD29" s="120">
        <f t="shared" si="2"/>
        <v>0</v>
      </c>
      <c r="AE29" s="121">
        <f t="shared" si="3"/>
        <v>0</v>
      </c>
      <c r="AF29" s="121"/>
      <c r="AG29" s="121">
        <f t="shared" si="7"/>
        <v>0</v>
      </c>
      <c r="AH29" s="120">
        <f t="shared" si="9"/>
        <v>0</v>
      </c>
      <c r="AI29" s="121">
        <f t="shared" si="9"/>
        <v>0</v>
      </c>
      <c r="AJ29" s="145"/>
      <c r="AK29" s="145"/>
      <c r="AL29" s="145"/>
      <c r="AM29" s="145"/>
      <c r="AN29" s="145"/>
      <c r="AO29" s="145"/>
      <c r="AP29" s="145"/>
    </row>
    <row r="30" spans="2:42">
      <c r="B30" s="25">
        <f t="shared" si="1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(E30*E45)+(F30*F45)+(G30*G45)+(H30*H45)+(I30*I45)+(J30*J45)+(K30*J45)+(L30*L45)+(M30*M45)+(N30*N45)+(O30*O45)+(P30*P45)+(Q30*Q45)+(R30*R45)+(S30*S45)+(T30*T45)+(U30*U45)+(V30*V45)+(W30*W45)+(X30*X45)+(Y30*Y45)+(Z30*Z45)+(AA30*AA45)+(AB30*AB45)</f>
        <v>0</v>
      </c>
      <c r="AD30" s="120">
        <f t="shared" si="2"/>
        <v>0</v>
      </c>
      <c r="AE30" s="121">
        <f t="shared" si="3"/>
        <v>0</v>
      </c>
      <c r="AF30" s="121"/>
      <c r="AG30" s="121">
        <f t="shared" si="7"/>
        <v>0</v>
      </c>
      <c r="AH30" s="120">
        <f t="shared" si="9"/>
        <v>0</v>
      </c>
      <c r="AI30" s="121">
        <f t="shared" si="9"/>
        <v>0</v>
      </c>
      <c r="AJ30" s="145"/>
      <c r="AK30" s="145"/>
      <c r="AL30" s="145"/>
      <c r="AM30" s="145"/>
      <c r="AN30" s="145"/>
      <c r="AO30" s="145"/>
      <c r="AP30" s="145"/>
    </row>
    <row r="31" spans="2:42">
      <c r="B31" s="25">
        <f t="shared" si="1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(E31*E45)+(F31*F45)+(G31*G45)+(H31*H45)+(I31*I45)+(J31*J45)+(K31*K45)+(L31*L45)+(M31*M45)+(N31*N45)+(O31*O45)+(P31*P45)+(Q31*Q45)+(R31*R45)+(S31*S45)+(T31*T45)+(U31*U45)+(V31*V45)+(W31*W45)+(X31*X45)+(Y31*Y45)+(Z31*Z45)+(AA31*AA45)+(AB31*AB45)</f>
        <v>0</v>
      </c>
      <c r="AD31" s="120">
        <f t="shared" si="2"/>
        <v>0</v>
      </c>
      <c r="AE31" s="121">
        <f t="shared" si="3"/>
        <v>0</v>
      </c>
      <c r="AF31" s="121"/>
      <c r="AG31" s="121">
        <f t="shared" si="7"/>
        <v>0</v>
      </c>
      <c r="AH31" s="120">
        <f t="shared" si="9"/>
        <v>0</v>
      </c>
      <c r="AI31" s="121">
        <f t="shared" si="9"/>
        <v>0</v>
      </c>
      <c r="AJ31" s="145"/>
      <c r="AK31" s="145"/>
      <c r="AL31" s="145"/>
      <c r="AM31" s="145"/>
      <c r="AN31" s="145"/>
      <c r="AO31" s="145"/>
      <c r="AP31" s="145"/>
    </row>
    <row r="32" spans="2:42">
      <c r="B32" s="25">
        <f t="shared" si="1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(E32*E45)+(F32*F45)+(G32*G45)+(H32*H45)+(I32*I45)+(J32*J45)+(K32*K45)+(L32*L45)+(M32*M45)+(N32*N45)+(O32*O45)+(P32*P45)+(Q32*Q45)+(R32*R45)+(S32*S45)+(T32*T45)+(U32*U45)+(V32*V45)+(W32*W45)+(X32*X45)+(Y32*Y45)+(Z32*Z45)+(AA32*AA45)+(AB32*AB45)</f>
        <v>0</v>
      </c>
      <c r="AD32" s="120">
        <f t="shared" si="2"/>
        <v>0</v>
      </c>
      <c r="AE32" s="121">
        <f t="shared" si="3"/>
        <v>0</v>
      </c>
      <c r="AF32" s="121"/>
      <c r="AG32" s="121">
        <f t="shared" si="7"/>
        <v>0</v>
      </c>
      <c r="AH32" s="120">
        <f t="shared" si="9"/>
        <v>0</v>
      </c>
      <c r="AI32" s="121">
        <f t="shared" si="9"/>
        <v>0</v>
      </c>
      <c r="AJ32" s="145"/>
      <c r="AK32" s="145"/>
      <c r="AL32" s="145"/>
      <c r="AM32" s="145"/>
      <c r="AN32" s="145"/>
      <c r="AO32" s="145"/>
      <c r="AP32" s="145"/>
    </row>
    <row r="33" spans="2:42">
      <c r="B33" s="25">
        <f t="shared" si="1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(E33*E45)+(F33*F45)+(G33*G45)+(H33*H45)+(I33*I45)+(J33*J45)+(K33*J45)+(L33*L45)+(M33*M45)+(N33*N45)+(O33*O45)+(P33*P45)+(Q33*Q45)+(R33*R45)+(S33*S45)+(T33*T45)+(U33*U45)+(V33*V45)+(W33*W45)+(X33*X45)+(Y33*Y45)+(Z33*Z45)+(AA33*AA45)+(AB33*AB45)</f>
        <v>0</v>
      </c>
      <c r="AD33" s="120">
        <f t="shared" si="2"/>
        <v>0</v>
      </c>
      <c r="AE33" s="121">
        <f t="shared" si="3"/>
        <v>0</v>
      </c>
      <c r="AF33" s="121"/>
      <c r="AG33" s="121">
        <f t="shared" si="7"/>
        <v>0</v>
      </c>
      <c r="AH33" s="120">
        <f t="shared" si="9"/>
        <v>0</v>
      </c>
      <c r="AI33" s="121">
        <f t="shared" si="9"/>
        <v>0</v>
      </c>
      <c r="AJ33" s="145"/>
      <c r="AK33" s="145"/>
      <c r="AL33" s="145"/>
      <c r="AM33" s="145"/>
      <c r="AN33" s="145"/>
      <c r="AO33" s="145"/>
      <c r="AP33" s="145"/>
    </row>
    <row r="34" spans="2:42">
      <c r="B34" s="25">
        <f t="shared" si="1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(E34*E45)+(F34*F45)+(G34*G45)+(H34*H45)+(I34*I45)+(J34*J45)+(K34*K45)+(L34*L45)+(M34*M45)+(N34*N45)+(O34*O45)+(P34*P45)+(Q34*Q45)+(R34*R45)+(S34*S45)+(T34*T45)+(U34*U45)+(V34*V45)+(W34*W45)+(X34*X45)+(Y34*Y45)+(Z34*Z45)+(AA34*AA45)+(AB34*AB45)</f>
        <v>0</v>
      </c>
      <c r="AD34" s="120">
        <f t="shared" si="2"/>
        <v>0</v>
      </c>
      <c r="AE34" s="121">
        <f t="shared" si="3"/>
        <v>0</v>
      </c>
      <c r="AF34" s="121"/>
      <c r="AG34" s="121">
        <f t="shared" si="7"/>
        <v>0</v>
      </c>
      <c r="AH34" s="120">
        <f t="shared" si="9"/>
        <v>0</v>
      </c>
      <c r="AI34" s="121">
        <f t="shared" si="9"/>
        <v>0</v>
      </c>
      <c r="AJ34" s="145"/>
      <c r="AK34" s="145"/>
      <c r="AL34" s="145"/>
      <c r="AM34" s="145"/>
      <c r="AN34" s="145"/>
      <c r="AO34" s="145"/>
      <c r="AP34" s="145"/>
    </row>
    <row r="35" spans="2:42">
      <c r="B35" s="25">
        <f t="shared" si="1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(E35*E45)+(F35*F45)+(G35*G45)+(H35*H45)+(I35*I45)+(J35*J45)+(K35*K45)+(L35*L45)+(M35*M45)+(N35*N45)+(O35*O45)+(P35*P45)+(Q35*Q45)+(R35*R45)+(S35*S45)+(T35*T45)+(U35*U45)+(V35*V45)+(W35*W45)+(X35*X45)+(Y35*Y45)+(Z35*Z45)+(AA35*AA45)+(AB35*AB45)</f>
        <v>0</v>
      </c>
      <c r="AD35" s="120">
        <f t="shared" si="2"/>
        <v>0</v>
      </c>
      <c r="AE35" s="121">
        <f t="shared" si="3"/>
        <v>0</v>
      </c>
      <c r="AF35" s="121"/>
      <c r="AG35" s="121">
        <f t="shared" si="7"/>
        <v>0</v>
      </c>
      <c r="AH35" s="120">
        <f t="shared" si="9"/>
        <v>0</v>
      </c>
      <c r="AI35" s="121">
        <f t="shared" si="9"/>
        <v>0</v>
      </c>
      <c r="AJ35" s="145"/>
      <c r="AK35" s="145"/>
      <c r="AL35" s="145"/>
      <c r="AM35" s="145"/>
      <c r="AN35" s="145"/>
      <c r="AO35" s="145"/>
      <c r="AP35" s="145"/>
    </row>
    <row r="36" spans="2:42">
      <c r="B36" s="25">
        <f t="shared" si="1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(E36*E45)+(F36*F45)+(G36*G45)+(H36*H45)+(I36*I45)+(J36*J45)+(K36*J45)+(L36*L45)+(M36*M45)+(N36*N45)+(O36*O45)+(P36*P45)+(Q36*Q45)+(R36*R45)+(S36*S45)+(T36*T45)+(U36*U45)+(V36*V45)+(W36*W45)+(X36*X45)+(Y36*Y45)+(Z36*Z45)+(AA36*AA45)+(AB36*AB45)</f>
        <v>0</v>
      </c>
      <c r="AD36" s="120">
        <f t="shared" si="2"/>
        <v>0</v>
      </c>
      <c r="AE36" s="121">
        <f t="shared" si="3"/>
        <v>0</v>
      </c>
      <c r="AF36" s="121"/>
      <c r="AG36" s="121">
        <f t="shared" si="7"/>
        <v>0</v>
      </c>
      <c r="AH36" s="120">
        <f t="shared" si="9"/>
        <v>0</v>
      </c>
      <c r="AI36" s="121">
        <f t="shared" si="9"/>
        <v>0</v>
      </c>
      <c r="AJ36" s="145"/>
      <c r="AK36" s="145"/>
      <c r="AL36" s="145"/>
      <c r="AM36" s="145"/>
      <c r="AN36" s="145"/>
      <c r="AO36" s="145"/>
      <c r="AP36" s="145"/>
    </row>
    <row r="37" spans="2:42">
      <c r="B37" s="25">
        <f t="shared" si="1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(E37*E45)+(F37*F45)+(G37*G45)+(H37*H45)+(I37*I45)+(J37*J45)+(K37*K45)+(L37*L45)+(M37*M45)+(N37*N45)+(O37*O45)+(P37*P45)+(Q37*Q45)+(R37*R45)+(S37*S45)+(T37*T45)+(U37*U45)+(V37*V45)+(W37*W45)+(X37*X45)+(Y37*Y45)+(Z37*Z45)+(AA37*AA45)+(AB37*AB45)</f>
        <v>0</v>
      </c>
      <c r="AD37" s="120">
        <f t="shared" si="2"/>
        <v>0</v>
      </c>
      <c r="AE37" s="121">
        <f t="shared" si="3"/>
        <v>0</v>
      </c>
      <c r="AF37" s="121"/>
      <c r="AG37" s="121">
        <f t="shared" si="7"/>
        <v>0</v>
      </c>
      <c r="AH37" s="120">
        <f t="shared" si="9"/>
        <v>0</v>
      </c>
      <c r="AI37" s="121">
        <f t="shared" si="9"/>
        <v>0</v>
      </c>
      <c r="AJ37" s="145"/>
      <c r="AK37" s="145"/>
      <c r="AL37" s="145"/>
      <c r="AM37" s="145"/>
      <c r="AN37" s="145"/>
      <c r="AO37" s="145"/>
      <c r="AP37" s="145"/>
    </row>
    <row r="38" spans="2:42">
      <c r="B38" s="25">
        <f t="shared" si="1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(E38*E45)+(F38*F45)+(G38*G45)+(H38*H45)+(I38*I45)+(J38*J45)+(K38*K45)+(L38*L45)+(M38*M45)+(N38*N45)+(O38*O45)+(P38*P45)+(Q38*Q45)+(R38*R45)+(S38*S45)+(T38*T45)+(U38*U45)+(V38*V45)+(W38*W45)+(X38*X45)+(Y38*Y45)+(Z38*Z45)+(AA38*AA45)+(AB38*AB45)</f>
        <v>0</v>
      </c>
      <c r="AD38" s="120">
        <f t="shared" si="2"/>
        <v>0</v>
      </c>
      <c r="AE38" s="121">
        <f t="shared" si="3"/>
        <v>0</v>
      </c>
      <c r="AF38" s="121"/>
      <c r="AG38" s="121">
        <f t="shared" si="7"/>
        <v>0</v>
      </c>
      <c r="AH38" s="120">
        <f t="shared" si="9"/>
        <v>0</v>
      </c>
      <c r="AI38" s="121">
        <f t="shared" si="9"/>
        <v>0</v>
      </c>
      <c r="AJ38" s="145"/>
      <c r="AK38" s="145"/>
      <c r="AL38" s="145"/>
      <c r="AM38" s="145"/>
      <c r="AN38" s="145"/>
      <c r="AO38" s="145"/>
      <c r="AP38" s="145"/>
    </row>
    <row r="39" spans="2:42">
      <c r="B39" s="25">
        <f t="shared" si="1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(E39*E45)+(F39*F45)+(G39*G45)+(H39*H45)+(I39*I45)+(J39*J45)+(K39*J45)+(L39*L45)+(M39*M45)+(N39*N45)+(O39*O45)+(P39*P45)+(Q39*Q45)+(R39*R45)+(S39*S45)+(T39*T45)+(U39*U45)+(V39*V45)+(W39*W45)+(X39*X45)+(Y39*Y45)+(Z39*Z45)+(AA39*AA45)+(AB39*AB45)</f>
        <v>0</v>
      </c>
      <c r="AD39" s="120">
        <f t="shared" si="2"/>
        <v>0</v>
      </c>
      <c r="AE39" s="121">
        <f t="shared" si="3"/>
        <v>0</v>
      </c>
      <c r="AF39" s="121"/>
      <c r="AG39" s="121">
        <f t="shared" si="7"/>
        <v>0</v>
      </c>
      <c r="AH39" s="120">
        <f t="shared" si="9"/>
        <v>0</v>
      </c>
      <c r="AI39" s="121">
        <f t="shared" si="9"/>
        <v>0</v>
      </c>
      <c r="AJ39" s="145"/>
      <c r="AK39" s="145"/>
      <c r="AL39" s="145"/>
      <c r="AM39" s="145"/>
      <c r="AN39" s="145"/>
      <c r="AO39" s="145"/>
      <c r="AP39" s="145"/>
    </row>
    <row r="40" spans="2:42">
      <c r="B40" s="25">
        <f t="shared" si="1"/>
        <v>29</v>
      </c>
      <c r="C40" s="32"/>
      <c r="D40" s="33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(E40*E45)+(F40*F45)+(G40*G45)+(H40*H45)+(I40*I45)+(J40*J45)+(K40*K45)+(L40*L45)+(M40*M45)+(N40*N45)+(O40*O45)+(P40*P45)+(Q40*Q45)+(R40*R45)+(S40*S45)+(T40*T45)+(U40*U45)+(V40*V45)+(W40*W45)+(X40*X45)+(Y40*Y45)+(Z40*Z45)+(AA40*AA45)+(AB40*AB45)</f>
        <v>0</v>
      </c>
      <c r="AD40" s="120">
        <f t="shared" si="2"/>
        <v>0</v>
      </c>
      <c r="AE40" s="121">
        <f t="shared" si="3"/>
        <v>0</v>
      </c>
      <c r="AF40" s="121"/>
      <c r="AG40" s="121">
        <f t="shared" si="7"/>
        <v>0</v>
      </c>
      <c r="AH40" s="120">
        <f t="shared" si="9"/>
        <v>0</v>
      </c>
      <c r="AI40" s="121">
        <f t="shared" si="9"/>
        <v>0</v>
      </c>
      <c r="AJ40" s="145"/>
      <c r="AK40" s="145"/>
      <c r="AL40" s="145"/>
      <c r="AM40" s="145"/>
      <c r="AN40" s="145"/>
      <c r="AO40" s="145"/>
      <c r="AP40" s="145"/>
    </row>
    <row r="41" spans="2:42">
      <c r="B41" s="25">
        <f t="shared" si="1"/>
        <v>30</v>
      </c>
      <c r="C41" s="26"/>
      <c r="D41" s="25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102"/>
      <c r="R41" s="97"/>
      <c r="S41" s="97"/>
      <c r="T41" s="98"/>
      <c r="U41" s="99"/>
      <c r="V41" s="99"/>
      <c r="W41" s="100"/>
      <c r="X41" s="103"/>
      <c r="Y41" s="103"/>
      <c r="Z41" s="122"/>
      <c r="AA41" s="122"/>
      <c r="AB41" s="122"/>
      <c r="AC41" s="119">
        <f>(E41*E45)+(F41*F45)+(G41*G45)+(H41*H45)+(I41*I45)+(J41*J45)+(K41*K45)+(L41*L45)+(M41*M45)+(N41*N45)+(O41*O45)+(P41*P45)+(Q41*Q45)+(R41*R45)+(S41*S45)+(T41*T45)+(U41*U45)+(V41*V45)+(W41*W45)+(X41*X45)+(Y41*Y45)+(Z41*Z45)+(AA41*AA45)+(AB41*AB45)</f>
        <v>0</v>
      </c>
      <c r="AD41" s="120">
        <f t="shared" si="2"/>
        <v>0</v>
      </c>
      <c r="AE41" s="121">
        <f t="shared" si="3"/>
        <v>0</v>
      </c>
      <c r="AF41" s="135"/>
      <c r="AG41" s="123">
        <f t="shared" si="7"/>
        <v>0</v>
      </c>
      <c r="AH41" s="130">
        <f t="shared" si="9"/>
        <v>0</v>
      </c>
      <c r="AI41" s="123">
        <f t="shared" si="9"/>
        <v>0</v>
      </c>
      <c r="AJ41" s="145"/>
      <c r="AK41" s="145"/>
      <c r="AL41" s="145"/>
      <c r="AM41" s="145"/>
      <c r="AN41" s="145"/>
      <c r="AO41" s="145"/>
      <c r="AP41" s="145"/>
    </row>
    <row r="42" ht="18.95" customHeight="1" spans="2:42">
      <c r="B42" s="34" t="s">
        <v>61</v>
      </c>
      <c r="C42" s="35">
        <f>COUNTA(C12:C41)</f>
        <v>0</v>
      </c>
      <c r="D42" s="36"/>
      <c r="E42" s="37">
        <f t="shared" ref="E42:AP42" si="10">SUM(E12:E41)</f>
        <v>0</v>
      </c>
      <c r="F42" s="37">
        <f t="shared" si="10"/>
        <v>0</v>
      </c>
      <c r="G42" s="38">
        <f t="shared" si="10"/>
        <v>0</v>
      </c>
      <c r="H42" s="38">
        <f t="shared" si="10"/>
        <v>0</v>
      </c>
      <c r="I42" s="70">
        <f t="shared" si="10"/>
        <v>0</v>
      </c>
      <c r="J42" s="70">
        <f t="shared" si="10"/>
        <v>0</v>
      </c>
      <c r="K42" s="71">
        <f t="shared" si="10"/>
        <v>0</v>
      </c>
      <c r="L42" s="71">
        <f t="shared" si="10"/>
        <v>0</v>
      </c>
      <c r="M42" s="72">
        <f t="shared" si="10"/>
        <v>0</v>
      </c>
      <c r="N42" s="72">
        <f t="shared" si="10"/>
        <v>0</v>
      </c>
      <c r="O42" s="71">
        <f t="shared" si="10"/>
        <v>0</v>
      </c>
      <c r="P42" s="71">
        <f t="shared" si="10"/>
        <v>0</v>
      </c>
      <c r="Q42" s="104">
        <f t="shared" si="10"/>
        <v>0</v>
      </c>
      <c r="R42" s="105">
        <f t="shared" si="10"/>
        <v>0</v>
      </c>
      <c r="S42" s="105">
        <f t="shared" si="10"/>
        <v>0</v>
      </c>
      <c r="T42" s="106">
        <f t="shared" si="10"/>
        <v>0</v>
      </c>
      <c r="U42" s="107">
        <f t="shared" si="10"/>
        <v>0</v>
      </c>
      <c r="V42" s="107">
        <f t="shared" si="10"/>
        <v>0</v>
      </c>
      <c r="W42" s="70">
        <f t="shared" si="10"/>
        <v>0</v>
      </c>
      <c r="X42" s="71">
        <f t="shared" si="10"/>
        <v>0</v>
      </c>
      <c r="Y42" s="124">
        <f t="shared" si="10"/>
        <v>0</v>
      </c>
      <c r="Z42" s="125">
        <f t="shared" si="10"/>
        <v>0</v>
      </c>
      <c r="AA42" s="125">
        <f t="shared" si="10"/>
        <v>0</v>
      </c>
      <c r="AB42" s="125">
        <f t="shared" si="10"/>
        <v>0</v>
      </c>
      <c r="AC42" s="125">
        <f t="shared" si="10"/>
        <v>0</v>
      </c>
      <c r="AD42" s="125">
        <f t="shared" si="10"/>
        <v>0</v>
      </c>
      <c r="AE42" s="125">
        <f t="shared" si="10"/>
        <v>0</v>
      </c>
      <c r="AF42" s="125"/>
      <c r="AG42" s="125">
        <f t="shared" si="10"/>
        <v>0</v>
      </c>
      <c r="AH42" s="125">
        <f t="shared" si="10"/>
        <v>0</v>
      </c>
      <c r="AI42" s="125">
        <f t="shared" si="10"/>
        <v>0</v>
      </c>
      <c r="AJ42" s="125">
        <f t="shared" si="10"/>
        <v>0</v>
      </c>
      <c r="AK42" s="125">
        <f t="shared" si="10"/>
        <v>0</v>
      </c>
      <c r="AL42" s="125">
        <f t="shared" si="10"/>
        <v>0</v>
      </c>
      <c r="AM42" s="125">
        <f t="shared" si="10"/>
        <v>0</v>
      </c>
      <c r="AN42" s="125">
        <f t="shared" si="10"/>
        <v>0</v>
      </c>
      <c r="AO42" s="125">
        <f t="shared" si="10"/>
        <v>0</v>
      </c>
      <c r="AP42" s="125">
        <f t="shared" si="10"/>
        <v>0</v>
      </c>
    </row>
    <row r="44" ht="16.5" spans="5:21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6.5" spans="2:29">
      <c r="B45" s="39"/>
      <c r="C45" s="40" t="s">
        <v>62</v>
      </c>
      <c r="D45" s="40"/>
      <c r="E45" s="40">
        <v>130.56</v>
      </c>
      <c r="F45" s="40">
        <f>12*E45</f>
        <v>1566.72</v>
      </c>
      <c r="G45" s="40">
        <v>102</v>
      </c>
      <c r="H45" s="40">
        <f>G45*48</f>
        <v>4896</v>
      </c>
      <c r="I45" s="40">
        <v>130.56</v>
      </c>
      <c r="J45" s="40">
        <f>I45*12</f>
        <v>1566.72</v>
      </c>
      <c r="K45" s="40">
        <v>115.6</v>
      </c>
      <c r="L45" s="40">
        <f>K45*15</f>
        <v>1734</v>
      </c>
      <c r="M45" s="40">
        <v>116</v>
      </c>
      <c r="N45" s="40">
        <f>M45*6</f>
        <v>696</v>
      </c>
      <c r="O45" s="40">
        <v>204</v>
      </c>
      <c r="P45" s="40">
        <f>O45*4</f>
        <v>816</v>
      </c>
      <c r="Q45" s="40">
        <v>1020</v>
      </c>
      <c r="R45" s="40">
        <v>204</v>
      </c>
      <c r="S45" s="40">
        <f>R45*4</f>
        <v>816</v>
      </c>
      <c r="T45" s="40">
        <v>4964</v>
      </c>
      <c r="U45" s="40">
        <v>68</v>
      </c>
      <c r="V45" s="40">
        <f>U45*12</f>
        <v>816</v>
      </c>
      <c r="W45" s="40">
        <v>13.6</v>
      </c>
      <c r="X45" s="40">
        <v>48.96</v>
      </c>
      <c r="Y45" s="40">
        <f>X45*12</f>
        <v>587.52</v>
      </c>
      <c r="Z45" s="40">
        <v>1156</v>
      </c>
      <c r="AA45" s="40">
        <v>102</v>
      </c>
      <c r="AB45" s="40">
        <v>314.16</v>
      </c>
      <c r="AC45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B2:AO46"/>
  <sheetViews>
    <sheetView showGridLines="0" workbookViewId="0">
      <pane xSplit="3" ySplit="7" topLeftCell="L35" activePane="bottomRight" state="frozen"/>
      <selection/>
      <selection pane="topRight"/>
      <selection pane="bottomLeft"/>
      <selection pane="bottomRight" activeCell="C12" sqref="C12:C22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7" width="15.4285714285714" style="1" customWidth="1"/>
    <col min="38" max="38" width="11.8571428571429" style="1" customWidth="1"/>
    <col min="39" max="39" width="11.7142857142857" style="1" customWidth="1"/>
    <col min="40" max="40" width="10.8571428571429" style="1" customWidth="1"/>
    <col min="41" max="41" width="12.1428571428571" style="1" customWidth="1"/>
    <col min="42" max="16384" width="9.14285714285714" style="1"/>
  </cols>
  <sheetData>
    <row r="2" spans="3:4">
      <c r="C2" s="2" t="s">
        <v>14</v>
      </c>
      <c r="D2" s="2"/>
    </row>
    <row r="3" ht="16.5" spans="3:4">
      <c r="C3" s="3" t="s">
        <v>15</v>
      </c>
      <c r="D3" s="3"/>
    </row>
    <row r="4" ht="16.5" spans="3:40">
      <c r="C4" s="3" t="s">
        <v>16</v>
      </c>
      <c r="D4" s="3"/>
      <c r="AL4" s="136"/>
      <c r="AM4" s="137"/>
      <c r="AN4" s="138"/>
    </row>
    <row r="5" spans="3:14">
      <c r="C5" s="3"/>
      <c r="D5" s="3"/>
      <c r="K5" s="133" t="s">
        <v>200</v>
      </c>
      <c r="L5" s="133"/>
      <c r="M5" s="133"/>
      <c r="N5" s="133"/>
    </row>
    <row r="6" ht="18.95" customHeight="1" spans="3:7">
      <c r="C6" s="4" t="s">
        <v>17</v>
      </c>
      <c r="D6" s="5" t="s">
        <v>63</v>
      </c>
      <c r="E6" s="6"/>
      <c r="F6" s="6"/>
      <c r="G6" s="6"/>
    </row>
    <row r="7" ht="18.95" customHeight="1" spans="3:7">
      <c r="C7" s="7" t="s">
        <v>18</v>
      </c>
      <c r="D7" s="5" t="s">
        <v>201</v>
      </c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41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34" t="s">
        <v>41</v>
      </c>
      <c r="AG10" s="139"/>
      <c r="AH10" s="139"/>
      <c r="AI10" s="139"/>
      <c r="AJ10" s="139"/>
      <c r="AK10" s="139"/>
      <c r="AL10" s="139"/>
      <c r="AM10" s="139"/>
      <c r="AN10" s="140"/>
      <c r="AO10" s="142"/>
    </row>
    <row r="11" ht="32.45" customHeight="1" spans="2:41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34" t="s">
        <v>55</v>
      </c>
      <c r="AG11" s="141" t="s">
        <v>56</v>
      </c>
      <c r="AH11" s="114"/>
      <c r="AI11" s="114"/>
      <c r="AJ11" s="114"/>
      <c r="AK11" s="114"/>
      <c r="AL11" s="34" t="s">
        <v>55</v>
      </c>
      <c r="AM11" s="141" t="s">
        <v>56</v>
      </c>
      <c r="AN11" s="34" t="s">
        <v>57</v>
      </c>
      <c r="AO11" s="143" t="s">
        <v>58</v>
      </c>
    </row>
    <row r="12" spans="2:41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/>
      <c r="AD12" s="120"/>
      <c r="AE12" s="121"/>
      <c r="AF12" s="121"/>
      <c r="AG12" s="121"/>
      <c r="AH12" s="121"/>
      <c r="AI12" s="121"/>
      <c r="AJ12" s="121"/>
      <c r="AK12" s="121"/>
      <c r="AL12" s="121">
        <f t="shared" ref="AL12:AL42" si="0">AE12/3</f>
        <v>0</v>
      </c>
      <c r="AM12" s="120">
        <f>AL12</f>
        <v>0</v>
      </c>
      <c r="AN12" s="121">
        <f>AM12</f>
        <v>0</v>
      </c>
      <c r="AO12" s="144">
        <f t="shared" ref="AO12:AO20" si="1">AD12+AF12+AG12+AH12+AI12+AJ12+AK12</f>
        <v>0</v>
      </c>
    </row>
    <row r="13" spans="2:41">
      <c r="B13" s="25">
        <f t="shared" ref="B13:B42" si="2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/>
      <c r="AD13" s="120"/>
      <c r="AE13" s="121"/>
      <c r="AF13" s="121"/>
      <c r="AG13" s="121"/>
      <c r="AH13" s="121"/>
      <c r="AI13" s="121"/>
      <c r="AJ13" s="121"/>
      <c r="AK13" s="121"/>
      <c r="AL13" s="121">
        <f t="shared" si="0"/>
        <v>0</v>
      </c>
      <c r="AM13" s="120">
        <f t="shared" ref="AM13:AN28" si="3">AL13</f>
        <v>0</v>
      </c>
      <c r="AN13" s="121">
        <f t="shared" si="3"/>
        <v>0</v>
      </c>
      <c r="AO13" s="144">
        <f t="shared" si="1"/>
        <v>0</v>
      </c>
    </row>
    <row r="14" spans="2:41">
      <c r="B14" s="25">
        <f t="shared" si="2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/>
      <c r="AD14" s="120"/>
      <c r="AE14" s="121"/>
      <c r="AF14" s="121"/>
      <c r="AG14" s="121"/>
      <c r="AH14" s="121"/>
      <c r="AI14" s="121"/>
      <c r="AJ14" s="121"/>
      <c r="AK14" s="121"/>
      <c r="AL14" s="121">
        <f t="shared" si="0"/>
        <v>0</v>
      </c>
      <c r="AM14" s="120">
        <f t="shared" si="3"/>
        <v>0</v>
      </c>
      <c r="AN14" s="121">
        <f t="shared" si="3"/>
        <v>0</v>
      </c>
      <c r="AO14" s="144">
        <f t="shared" si="1"/>
        <v>0</v>
      </c>
    </row>
    <row r="15" spans="2:41">
      <c r="B15" s="25">
        <f t="shared" si="2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/>
      <c r="AD15" s="120"/>
      <c r="AE15" s="121"/>
      <c r="AF15" s="121"/>
      <c r="AG15" s="121"/>
      <c r="AH15" s="121"/>
      <c r="AI15" s="121"/>
      <c r="AJ15" s="121"/>
      <c r="AK15" s="121"/>
      <c r="AL15" s="121">
        <f t="shared" si="0"/>
        <v>0</v>
      </c>
      <c r="AM15" s="120">
        <f t="shared" si="3"/>
        <v>0</v>
      </c>
      <c r="AN15" s="121">
        <f t="shared" si="3"/>
        <v>0</v>
      </c>
      <c r="AO15" s="144">
        <f t="shared" si="1"/>
        <v>0</v>
      </c>
    </row>
    <row r="16" spans="2:41">
      <c r="B16" s="25">
        <f t="shared" si="2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/>
      <c r="AD16" s="120"/>
      <c r="AE16" s="121"/>
      <c r="AF16" s="121"/>
      <c r="AG16" s="121"/>
      <c r="AH16" s="121"/>
      <c r="AI16" s="121"/>
      <c r="AJ16" s="121"/>
      <c r="AK16" s="121"/>
      <c r="AL16" s="121">
        <f t="shared" si="0"/>
        <v>0</v>
      </c>
      <c r="AM16" s="120">
        <f t="shared" si="3"/>
        <v>0</v>
      </c>
      <c r="AN16" s="121">
        <f t="shared" si="3"/>
        <v>0</v>
      </c>
      <c r="AO16" s="144">
        <f t="shared" si="1"/>
        <v>0</v>
      </c>
    </row>
    <row r="17" spans="2:41">
      <c r="B17" s="25">
        <f t="shared" si="2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/>
      <c r="AD17" s="120"/>
      <c r="AE17" s="121"/>
      <c r="AF17" s="121"/>
      <c r="AG17" s="121"/>
      <c r="AH17" s="121"/>
      <c r="AI17" s="121"/>
      <c r="AJ17" s="121"/>
      <c r="AK17" s="121"/>
      <c r="AL17" s="121">
        <f t="shared" si="0"/>
        <v>0</v>
      </c>
      <c r="AM17" s="120">
        <f t="shared" si="3"/>
        <v>0</v>
      </c>
      <c r="AN17" s="121">
        <f t="shared" si="3"/>
        <v>0</v>
      </c>
      <c r="AO17" s="144">
        <f t="shared" si="1"/>
        <v>0</v>
      </c>
    </row>
    <row r="18" spans="2:41">
      <c r="B18" s="25">
        <f t="shared" si="2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/>
      <c r="AD18" s="120"/>
      <c r="AE18" s="121"/>
      <c r="AF18" s="121"/>
      <c r="AG18" s="121"/>
      <c r="AH18" s="121"/>
      <c r="AI18" s="121"/>
      <c r="AJ18" s="121"/>
      <c r="AK18" s="121"/>
      <c r="AL18" s="121">
        <f t="shared" si="0"/>
        <v>0</v>
      </c>
      <c r="AM18" s="120">
        <f>AL18</f>
        <v>0</v>
      </c>
      <c r="AN18" s="121">
        <f t="shared" si="3"/>
        <v>0</v>
      </c>
      <c r="AO18" s="144">
        <f t="shared" si="1"/>
        <v>0</v>
      </c>
    </row>
    <row r="19" spans="2:41">
      <c r="B19" s="25">
        <f t="shared" si="2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/>
      <c r="AD19" s="120"/>
      <c r="AE19" s="121"/>
      <c r="AF19" s="121"/>
      <c r="AG19" s="121"/>
      <c r="AH19" s="121"/>
      <c r="AI19" s="121"/>
      <c r="AJ19" s="121"/>
      <c r="AK19" s="121"/>
      <c r="AL19" s="121">
        <f t="shared" si="0"/>
        <v>0</v>
      </c>
      <c r="AM19" s="120">
        <f t="shared" si="3"/>
        <v>0</v>
      </c>
      <c r="AN19" s="121">
        <f t="shared" si="3"/>
        <v>0</v>
      </c>
      <c r="AO19" s="144">
        <f t="shared" si="1"/>
        <v>0</v>
      </c>
    </row>
    <row r="20" spans="2:41">
      <c r="B20" s="25">
        <f t="shared" si="2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/>
      <c r="AD20" s="120"/>
      <c r="AE20" s="121"/>
      <c r="AF20" s="121"/>
      <c r="AG20" s="121"/>
      <c r="AH20" s="121"/>
      <c r="AI20" s="121"/>
      <c r="AJ20" s="121"/>
      <c r="AK20" s="121"/>
      <c r="AL20" s="121">
        <f t="shared" si="0"/>
        <v>0</v>
      </c>
      <c r="AM20" s="120">
        <f t="shared" si="3"/>
        <v>0</v>
      </c>
      <c r="AN20" s="121">
        <f t="shared" si="3"/>
        <v>0</v>
      </c>
      <c r="AO20" s="145">
        <f t="shared" si="1"/>
        <v>0</v>
      </c>
    </row>
    <row r="21" spans="2:41">
      <c r="B21" s="25">
        <f t="shared" si="2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/>
      <c r="AD21" s="120"/>
      <c r="AE21" s="121"/>
      <c r="AF21" s="121"/>
      <c r="AG21" s="121"/>
      <c r="AH21" s="121"/>
      <c r="AI21" s="121"/>
      <c r="AJ21" s="121"/>
      <c r="AK21" s="121"/>
      <c r="AL21" s="121">
        <f t="shared" si="0"/>
        <v>0</v>
      </c>
      <c r="AM21" s="120">
        <f t="shared" si="3"/>
        <v>0</v>
      </c>
      <c r="AN21" s="121">
        <f t="shared" si="3"/>
        <v>0</v>
      </c>
      <c r="AO21" s="145" t="s">
        <v>313</v>
      </c>
    </row>
    <row r="22" spans="2:41">
      <c r="B22" s="25">
        <f t="shared" si="2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/>
      <c r="AD22" s="120"/>
      <c r="AE22" s="121"/>
      <c r="AF22" s="121"/>
      <c r="AG22" s="121"/>
      <c r="AH22" s="121"/>
      <c r="AI22" s="121"/>
      <c r="AJ22" s="121"/>
      <c r="AK22" s="121"/>
      <c r="AL22" s="121">
        <f t="shared" si="0"/>
        <v>0</v>
      </c>
      <c r="AM22" s="120">
        <f t="shared" si="3"/>
        <v>0</v>
      </c>
      <c r="AN22" s="121">
        <f t="shared" si="3"/>
        <v>0</v>
      </c>
      <c r="AO22" s="145"/>
    </row>
    <row r="23" spans="2:41">
      <c r="B23" s="25">
        <f t="shared" si="2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/>
      <c r="AD23" s="120"/>
      <c r="AE23" s="121"/>
      <c r="AF23" s="121"/>
      <c r="AG23" s="121"/>
      <c r="AH23" s="121"/>
      <c r="AI23" s="121"/>
      <c r="AJ23" s="121"/>
      <c r="AK23" s="121"/>
      <c r="AL23" s="121">
        <f t="shared" si="0"/>
        <v>0</v>
      </c>
      <c r="AM23" s="120">
        <f t="shared" si="3"/>
        <v>0</v>
      </c>
      <c r="AN23" s="121">
        <f t="shared" si="3"/>
        <v>0</v>
      </c>
      <c r="AO23" s="145"/>
    </row>
    <row r="24" spans="2:41">
      <c r="B24" s="25">
        <f t="shared" si="2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/>
      <c r="AD24" s="120"/>
      <c r="AE24" s="121"/>
      <c r="AF24" s="121"/>
      <c r="AG24" s="121"/>
      <c r="AH24" s="121"/>
      <c r="AI24" s="121"/>
      <c r="AJ24" s="121"/>
      <c r="AK24" s="121"/>
      <c r="AL24" s="121">
        <f t="shared" si="0"/>
        <v>0</v>
      </c>
      <c r="AM24" s="120">
        <f t="shared" si="3"/>
        <v>0</v>
      </c>
      <c r="AN24" s="121">
        <f t="shared" si="3"/>
        <v>0</v>
      </c>
      <c r="AO24" s="145"/>
    </row>
    <row r="25" spans="2:41">
      <c r="B25" s="25">
        <f t="shared" si="2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/>
      <c r="AD25" s="120"/>
      <c r="AE25" s="121"/>
      <c r="AF25" s="121"/>
      <c r="AG25" s="121"/>
      <c r="AH25" s="121"/>
      <c r="AI25" s="121"/>
      <c r="AJ25" s="121"/>
      <c r="AK25" s="121"/>
      <c r="AL25" s="121">
        <f t="shared" si="0"/>
        <v>0</v>
      </c>
      <c r="AM25" s="120">
        <f t="shared" si="3"/>
        <v>0</v>
      </c>
      <c r="AN25" s="121">
        <f t="shared" si="3"/>
        <v>0</v>
      </c>
      <c r="AO25" s="145"/>
    </row>
    <row r="26" spans="2:41">
      <c r="B26" s="25">
        <f t="shared" si="2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/>
      <c r="AD26" s="120"/>
      <c r="AE26" s="121"/>
      <c r="AF26" s="121"/>
      <c r="AG26" s="121"/>
      <c r="AH26" s="121"/>
      <c r="AI26" s="121"/>
      <c r="AJ26" s="121"/>
      <c r="AK26" s="121"/>
      <c r="AL26" s="121">
        <f t="shared" si="0"/>
        <v>0</v>
      </c>
      <c r="AM26" s="120">
        <f t="shared" si="3"/>
        <v>0</v>
      </c>
      <c r="AN26" s="121">
        <f t="shared" si="3"/>
        <v>0</v>
      </c>
      <c r="AO26" s="145"/>
    </row>
    <row r="27" spans="2:41">
      <c r="B27" s="25">
        <f t="shared" si="2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/>
      <c r="AD27" s="120"/>
      <c r="AE27" s="121"/>
      <c r="AF27" s="121"/>
      <c r="AG27" s="121"/>
      <c r="AH27" s="121"/>
      <c r="AI27" s="121"/>
      <c r="AJ27" s="121"/>
      <c r="AK27" s="121"/>
      <c r="AL27" s="121">
        <f t="shared" si="0"/>
        <v>0</v>
      </c>
      <c r="AM27" s="120">
        <f t="shared" si="3"/>
        <v>0</v>
      </c>
      <c r="AN27" s="121">
        <f t="shared" si="3"/>
        <v>0</v>
      </c>
      <c r="AO27" s="145"/>
    </row>
    <row r="28" spans="2:41">
      <c r="B28" s="25">
        <f t="shared" si="2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/>
      <c r="AD28" s="120"/>
      <c r="AE28" s="121"/>
      <c r="AF28" s="121"/>
      <c r="AG28" s="121"/>
      <c r="AH28" s="121"/>
      <c r="AI28" s="121"/>
      <c r="AJ28" s="121"/>
      <c r="AK28" s="121"/>
      <c r="AL28" s="121">
        <f t="shared" si="0"/>
        <v>0</v>
      </c>
      <c r="AM28" s="120">
        <f t="shared" si="3"/>
        <v>0</v>
      </c>
      <c r="AN28" s="121">
        <f t="shared" si="3"/>
        <v>0</v>
      </c>
      <c r="AO28" s="145"/>
    </row>
    <row r="29" spans="2:41">
      <c r="B29" s="25">
        <f t="shared" si="2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/>
      <c r="AD29" s="120"/>
      <c r="AE29" s="121"/>
      <c r="AF29" s="121"/>
      <c r="AG29" s="121"/>
      <c r="AH29" s="121"/>
      <c r="AI29" s="121"/>
      <c r="AJ29" s="121"/>
      <c r="AK29" s="121"/>
      <c r="AL29" s="121">
        <f t="shared" si="0"/>
        <v>0</v>
      </c>
      <c r="AM29" s="120">
        <f t="shared" ref="AM29:AN42" si="4">AL29</f>
        <v>0</v>
      </c>
      <c r="AN29" s="121">
        <f t="shared" si="4"/>
        <v>0</v>
      </c>
      <c r="AO29" s="145"/>
    </row>
    <row r="30" spans="2:41">
      <c r="B30" s="25">
        <f t="shared" si="2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/>
      <c r="AD30" s="120"/>
      <c r="AE30" s="121"/>
      <c r="AF30" s="121"/>
      <c r="AG30" s="121"/>
      <c r="AH30" s="121"/>
      <c r="AI30" s="121"/>
      <c r="AJ30" s="121"/>
      <c r="AK30" s="121"/>
      <c r="AL30" s="121">
        <f t="shared" si="0"/>
        <v>0</v>
      </c>
      <c r="AM30" s="120">
        <f t="shared" si="4"/>
        <v>0</v>
      </c>
      <c r="AN30" s="121">
        <f t="shared" si="4"/>
        <v>0</v>
      </c>
      <c r="AO30" s="145"/>
    </row>
    <row r="31" spans="2:41">
      <c r="B31" s="25">
        <f t="shared" si="2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/>
      <c r="AD31" s="120"/>
      <c r="AE31" s="121"/>
      <c r="AF31" s="121"/>
      <c r="AG31" s="121"/>
      <c r="AH31" s="121"/>
      <c r="AI31" s="121"/>
      <c r="AJ31" s="121"/>
      <c r="AK31" s="121"/>
      <c r="AL31" s="121">
        <f t="shared" si="0"/>
        <v>0</v>
      </c>
      <c r="AM31" s="120">
        <f t="shared" si="4"/>
        <v>0</v>
      </c>
      <c r="AN31" s="121">
        <f t="shared" si="4"/>
        <v>0</v>
      </c>
      <c r="AO31" s="145"/>
    </row>
    <row r="32" spans="2:41">
      <c r="B32" s="25">
        <f t="shared" si="2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/>
      <c r="AD32" s="120"/>
      <c r="AE32" s="121"/>
      <c r="AF32" s="121"/>
      <c r="AG32" s="121"/>
      <c r="AH32" s="121"/>
      <c r="AI32" s="121"/>
      <c r="AJ32" s="121"/>
      <c r="AK32" s="121"/>
      <c r="AL32" s="121">
        <f t="shared" si="0"/>
        <v>0</v>
      </c>
      <c r="AM32" s="120">
        <f t="shared" si="4"/>
        <v>0</v>
      </c>
      <c r="AN32" s="121">
        <f t="shared" si="4"/>
        <v>0</v>
      </c>
      <c r="AO32" s="145"/>
    </row>
    <row r="33" spans="2:41">
      <c r="B33" s="25">
        <f t="shared" si="2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/>
      <c r="AD33" s="120"/>
      <c r="AE33" s="121"/>
      <c r="AF33" s="121"/>
      <c r="AG33" s="121"/>
      <c r="AH33" s="121"/>
      <c r="AI33" s="121"/>
      <c r="AJ33" s="121"/>
      <c r="AK33" s="121"/>
      <c r="AL33" s="121">
        <f t="shared" si="0"/>
        <v>0</v>
      </c>
      <c r="AM33" s="120">
        <f t="shared" si="4"/>
        <v>0</v>
      </c>
      <c r="AN33" s="121">
        <f t="shared" si="4"/>
        <v>0</v>
      </c>
      <c r="AO33" s="145"/>
    </row>
    <row r="34" spans="2:41">
      <c r="B34" s="25">
        <f t="shared" si="2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/>
      <c r="AD34" s="120"/>
      <c r="AE34" s="121"/>
      <c r="AF34" s="121"/>
      <c r="AG34" s="121"/>
      <c r="AH34" s="121"/>
      <c r="AI34" s="121"/>
      <c r="AJ34" s="121"/>
      <c r="AK34" s="121"/>
      <c r="AL34" s="121">
        <f t="shared" si="0"/>
        <v>0</v>
      </c>
      <c r="AM34" s="120">
        <f t="shared" si="4"/>
        <v>0</v>
      </c>
      <c r="AN34" s="121">
        <f t="shared" si="4"/>
        <v>0</v>
      </c>
      <c r="AO34" s="145"/>
    </row>
    <row r="35" spans="2:41">
      <c r="B35" s="25">
        <f t="shared" si="2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/>
      <c r="AD35" s="120"/>
      <c r="AE35" s="121"/>
      <c r="AF35" s="121"/>
      <c r="AG35" s="121"/>
      <c r="AH35" s="121"/>
      <c r="AI35" s="121"/>
      <c r="AJ35" s="121"/>
      <c r="AK35" s="121"/>
      <c r="AL35" s="121">
        <f t="shared" si="0"/>
        <v>0</v>
      </c>
      <c r="AM35" s="120">
        <f t="shared" si="4"/>
        <v>0</v>
      </c>
      <c r="AN35" s="121">
        <f t="shared" si="4"/>
        <v>0</v>
      </c>
      <c r="AO35" s="145"/>
    </row>
    <row r="36" spans="2:41">
      <c r="B36" s="25">
        <f t="shared" si="2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/>
      <c r="AD36" s="120"/>
      <c r="AE36" s="121"/>
      <c r="AF36" s="121"/>
      <c r="AG36" s="121"/>
      <c r="AH36" s="121"/>
      <c r="AI36" s="121"/>
      <c r="AJ36" s="121"/>
      <c r="AK36" s="121"/>
      <c r="AL36" s="121">
        <f t="shared" si="0"/>
        <v>0</v>
      </c>
      <c r="AM36" s="120">
        <f t="shared" si="4"/>
        <v>0</v>
      </c>
      <c r="AN36" s="121">
        <f t="shared" si="4"/>
        <v>0</v>
      </c>
      <c r="AO36" s="145"/>
    </row>
    <row r="37" spans="2:41">
      <c r="B37" s="25">
        <f t="shared" si="2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ref="AD37:AD42" si="5">10%*AC37</f>
        <v>0</v>
      </c>
      <c r="AE37" s="121">
        <f t="shared" ref="AE37:AE42" si="6">AC37-AD37</f>
        <v>0</v>
      </c>
      <c r="AF37" s="121"/>
      <c r="AG37" s="121"/>
      <c r="AH37" s="121"/>
      <c r="AI37" s="121"/>
      <c r="AJ37" s="121"/>
      <c r="AK37" s="121"/>
      <c r="AL37" s="121">
        <f t="shared" si="0"/>
        <v>0</v>
      </c>
      <c r="AM37" s="120">
        <f t="shared" si="4"/>
        <v>0</v>
      </c>
      <c r="AN37" s="121">
        <f t="shared" si="4"/>
        <v>0</v>
      </c>
      <c r="AO37" s="145"/>
    </row>
    <row r="38" spans="2:41">
      <c r="B38" s="25">
        <f t="shared" si="2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5"/>
        <v>0</v>
      </c>
      <c r="AE38" s="121">
        <f t="shared" si="6"/>
        <v>0</v>
      </c>
      <c r="AF38" s="121"/>
      <c r="AG38" s="121"/>
      <c r="AH38" s="121"/>
      <c r="AI38" s="121"/>
      <c r="AJ38" s="121"/>
      <c r="AK38" s="121"/>
      <c r="AL38" s="121">
        <f t="shared" si="0"/>
        <v>0</v>
      </c>
      <c r="AM38" s="120">
        <f t="shared" si="4"/>
        <v>0</v>
      </c>
      <c r="AN38" s="121">
        <f t="shared" si="4"/>
        <v>0</v>
      </c>
      <c r="AO38" s="145"/>
    </row>
    <row r="39" spans="2:41">
      <c r="B39" s="25">
        <f t="shared" si="2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5"/>
        <v>0</v>
      </c>
      <c r="AE39" s="121">
        <f t="shared" si="6"/>
        <v>0</v>
      </c>
      <c r="AF39" s="121"/>
      <c r="AG39" s="121"/>
      <c r="AH39" s="121"/>
      <c r="AI39" s="121"/>
      <c r="AJ39" s="121"/>
      <c r="AK39" s="121"/>
      <c r="AL39" s="121">
        <f t="shared" si="0"/>
        <v>0</v>
      </c>
      <c r="AM39" s="120">
        <f t="shared" si="4"/>
        <v>0</v>
      </c>
      <c r="AN39" s="121">
        <f t="shared" si="4"/>
        <v>0</v>
      </c>
      <c r="AO39" s="145"/>
    </row>
    <row r="40" spans="2:41">
      <c r="B40" s="25">
        <f t="shared" si="2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5"/>
        <v>0</v>
      </c>
      <c r="AE40" s="121">
        <f t="shared" si="6"/>
        <v>0</v>
      </c>
      <c r="AF40" s="121"/>
      <c r="AG40" s="121"/>
      <c r="AH40" s="121"/>
      <c r="AI40" s="121"/>
      <c r="AJ40" s="121"/>
      <c r="AK40" s="121"/>
      <c r="AL40" s="121">
        <f t="shared" si="0"/>
        <v>0</v>
      </c>
      <c r="AM40" s="120">
        <f t="shared" si="4"/>
        <v>0</v>
      </c>
      <c r="AN40" s="121">
        <f t="shared" si="4"/>
        <v>0</v>
      </c>
      <c r="AO40" s="145"/>
    </row>
    <row r="41" spans="2:41">
      <c r="B41" s="25">
        <f t="shared" si="2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5"/>
        <v>0</v>
      </c>
      <c r="AE41" s="121">
        <f t="shared" si="6"/>
        <v>0</v>
      </c>
      <c r="AF41" s="121"/>
      <c r="AG41" s="121"/>
      <c r="AH41" s="121"/>
      <c r="AI41" s="121"/>
      <c r="AJ41" s="121"/>
      <c r="AK41" s="121"/>
      <c r="AL41" s="121">
        <f t="shared" si="0"/>
        <v>0</v>
      </c>
      <c r="AM41" s="120">
        <f t="shared" si="4"/>
        <v>0</v>
      </c>
      <c r="AN41" s="121">
        <f t="shared" si="4"/>
        <v>0</v>
      </c>
      <c r="AO41" s="145"/>
    </row>
    <row r="42" spans="2:41">
      <c r="B42" s="25">
        <f t="shared" si="2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5"/>
        <v>0</v>
      </c>
      <c r="AE42" s="121">
        <f t="shared" si="6"/>
        <v>0</v>
      </c>
      <c r="AF42" s="135"/>
      <c r="AG42" s="135"/>
      <c r="AH42" s="135"/>
      <c r="AI42" s="135"/>
      <c r="AJ42" s="135"/>
      <c r="AK42" s="135"/>
      <c r="AL42" s="123">
        <f t="shared" si="0"/>
        <v>0</v>
      </c>
      <c r="AM42" s="130">
        <f t="shared" si="4"/>
        <v>0</v>
      </c>
      <c r="AN42" s="123">
        <f t="shared" si="4"/>
        <v>0</v>
      </c>
      <c r="AO42" s="145"/>
    </row>
    <row r="43" ht="18.95" customHeight="1" spans="2:41">
      <c r="B43" s="34" t="s">
        <v>61</v>
      </c>
      <c r="C43" s="35">
        <f>COUNTA(C12:C42)</f>
        <v>0</v>
      </c>
      <c r="D43" s="36"/>
      <c r="E43" s="37">
        <f t="shared" ref="E43:AO43" si="7">SUM(E12:E42)</f>
        <v>0</v>
      </c>
      <c r="F43" s="37">
        <f t="shared" si="7"/>
        <v>0</v>
      </c>
      <c r="G43" s="38">
        <f t="shared" si="7"/>
        <v>0</v>
      </c>
      <c r="H43" s="38">
        <f t="shared" si="7"/>
        <v>0</v>
      </c>
      <c r="I43" s="70">
        <f t="shared" si="7"/>
        <v>0</v>
      </c>
      <c r="J43" s="70">
        <f t="shared" si="7"/>
        <v>0</v>
      </c>
      <c r="K43" s="71">
        <f t="shared" si="7"/>
        <v>0</v>
      </c>
      <c r="L43" s="71">
        <f t="shared" si="7"/>
        <v>0</v>
      </c>
      <c r="M43" s="72">
        <f t="shared" si="7"/>
        <v>0</v>
      </c>
      <c r="N43" s="72">
        <f t="shared" si="7"/>
        <v>0</v>
      </c>
      <c r="O43" s="71">
        <f t="shared" si="7"/>
        <v>0</v>
      </c>
      <c r="P43" s="71">
        <f t="shared" si="7"/>
        <v>0</v>
      </c>
      <c r="Q43" s="104">
        <f t="shared" si="7"/>
        <v>0</v>
      </c>
      <c r="R43" s="105">
        <f t="shared" si="7"/>
        <v>0</v>
      </c>
      <c r="S43" s="105">
        <f t="shared" si="7"/>
        <v>0</v>
      </c>
      <c r="T43" s="106">
        <f t="shared" si="7"/>
        <v>0</v>
      </c>
      <c r="U43" s="107">
        <f t="shared" si="7"/>
        <v>0</v>
      </c>
      <c r="V43" s="107">
        <f t="shared" si="7"/>
        <v>0</v>
      </c>
      <c r="W43" s="70">
        <f t="shared" si="7"/>
        <v>0</v>
      </c>
      <c r="X43" s="71">
        <f t="shared" si="7"/>
        <v>0</v>
      </c>
      <c r="Y43" s="124">
        <f t="shared" si="7"/>
        <v>0</v>
      </c>
      <c r="Z43" s="125">
        <f t="shared" si="7"/>
        <v>0</v>
      </c>
      <c r="AA43" s="125">
        <f t="shared" si="7"/>
        <v>0</v>
      </c>
      <c r="AB43" s="125">
        <f t="shared" si="7"/>
        <v>0</v>
      </c>
      <c r="AC43" s="125">
        <f t="shared" si="7"/>
        <v>0</v>
      </c>
      <c r="AD43" s="125">
        <f t="shared" si="7"/>
        <v>0</v>
      </c>
      <c r="AE43" s="125">
        <f t="shared" si="7"/>
        <v>0</v>
      </c>
      <c r="AF43" s="125"/>
      <c r="AG43" s="125"/>
      <c r="AH43" s="125"/>
      <c r="AI43" s="125"/>
      <c r="AJ43" s="125"/>
      <c r="AK43" s="125"/>
      <c r="AL43" s="125">
        <f t="shared" si="7"/>
        <v>0</v>
      </c>
      <c r="AM43" s="125">
        <f t="shared" si="7"/>
        <v>0</v>
      </c>
      <c r="AN43" s="125">
        <f t="shared" si="7"/>
        <v>0</v>
      </c>
      <c r="AO43" s="125">
        <f t="shared" si="7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150</v>
      </c>
      <c r="F46" s="40">
        <f>12*E46</f>
        <v>1800</v>
      </c>
      <c r="G46" s="40">
        <v>116</v>
      </c>
      <c r="H46" s="40">
        <f>G46*48</f>
        <v>5568</v>
      </c>
      <c r="I46" s="40">
        <v>150</v>
      </c>
      <c r="J46" s="40">
        <f>I46*12</f>
        <v>1800</v>
      </c>
      <c r="K46" s="40">
        <v>116</v>
      </c>
      <c r="L46" s="40">
        <f>K46*15</f>
        <v>1740</v>
      </c>
      <c r="M46" s="40">
        <v>116</v>
      </c>
      <c r="N46" s="40">
        <f>M46*6</f>
        <v>696</v>
      </c>
      <c r="O46" s="40">
        <v>272</v>
      </c>
      <c r="P46" s="40">
        <f>O46*4</f>
        <v>1088</v>
      </c>
      <c r="Q46" s="40">
        <v>1360</v>
      </c>
      <c r="R46" s="40">
        <v>272</v>
      </c>
      <c r="S46" s="40">
        <f>R46*4</f>
        <v>1088</v>
      </c>
      <c r="T46" s="40">
        <v>5984</v>
      </c>
      <c r="U46" s="40">
        <v>82</v>
      </c>
      <c r="V46" s="40">
        <f>U46*12</f>
        <v>984</v>
      </c>
      <c r="W46" s="40">
        <v>20</v>
      </c>
      <c r="X46" s="40">
        <v>79</v>
      </c>
      <c r="Y46" s="40">
        <f>X46*12</f>
        <v>948</v>
      </c>
      <c r="Z46" s="40">
        <v>1224</v>
      </c>
      <c r="AA46" s="40">
        <v>116</v>
      </c>
      <c r="AB46" s="40">
        <v>340</v>
      </c>
      <c r="AC46" s="126"/>
    </row>
  </sheetData>
  <mergeCells count="17">
    <mergeCell ref="K5:N5"/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N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AH46"/>
  <sheetViews>
    <sheetView showGridLines="0" workbookViewId="0">
      <pane xSplit="3" ySplit="7" topLeftCell="X32" activePane="bottomRight" state="frozen"/>
      <selection/>
      <selection pane="topRight"/>
      <selection pane="bottomLeft"/>
      <selection pane="bottomRight" activeCell="C12" sqref="C12:AB20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 t="s">
        <v>314</v>
      </c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177</v>
      </c>
      <c r="J46" s="40">
        <f>I46*12</f>
        <v>2124</v>
      </c>
      <c r="K46" s="40">
        <v>177</v>
      </c>
      <c r="L46" s="40">
        <f>K46*15</f>
        <v>2655</v>
      </c>
      <c r="M46" s="40">
        <v>34</v>
      </c>
      <c r="N46" s="40">
        <f>M46*6</f>
        <v>204</v>
      </c>
      <c r="O46" s="40">
        <v>272</v>
      </c>
      <c r="P46" s="40">
        <f>O46*4</f>
        <v>1088</v>
      </c>
      <c r="Q46" s="40">
        <v>1496</v>
      </c>
      <c r="R46" s="40">
        <v>204</v>
      </c>
      <c r="S46" s="40">
        <f>R46*4</f>
        <v>816</v>
      </c>
      <c r="T46" s="40">
        <v>6800</v>
      </c>
      <c r="U46" s="40">
        <v>75</v>
      </c>
      <c r="V46" s="40">
        <f>U46*12</f>
        <v>900</v>
      </c>
      <c r="W46" s="40">
        <v>13.6</v>
      </c>
      <c r="X46" s="40">
        <v>68</v>
      </c>
      <c r="Y46" s="40">
        <f>X46*12</f>
        <v>816</v>
      </c>
      <c r="Z46" s="40">
        <v>1904</v>
      </c>
      <c r="AA46" s="40">
        <v>122</v>
      </c>
      <c r="AB46" s="40">
        <v>340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2:AH46"/>
  <sheetViews>
    <sheetView showGridLines="0" workbookViewId="0">
      <pane xSplit="3" ySplit="7" topLeftCell="X35" activePane="bottomRight" state="frozen"/>
      <selection/>
      <selection pane="topRight"/>
      <selection pane="bottomLeft"/>
      <selection pane="bottomRight" activeCell="Z19" sqref="Z19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 t="s">
        <v>316</v>
      </c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131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1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204</v>
      </c>
      <c r="F46" s="40">
        <f>12*E46</f>
        <v>2448</v>
      </c>
      <c r="G46" s="40">
        <v>177</v>
      </c>
      <c r="H46" s="40">
        <f>G46*48</f>
        <v>8496</v>
      </c>
      <c r="I46" s="40">
        <v>204</v>
      </c>
      <c r="J46" s="40">
        <f>I46*12</f>
        <v>2448</v>
      </c>
      <c r="K46" s="40">
        <v>177</v>
      </c>
      <c r="L46" s="40">
        <f>K46*15</f>
        <v>2655</v>
      </c>
      <c r="M46" s="40">
        <v>34</v>
      </c>
      <c r="N46" s="40">
        <f>M46*6</f>
        <v>204</v>
      </c>
      <c r="O46" s="40">
        <v>272</v>
      </c>
      <c r="P46" s="40">
        <f>O46*4</f>
        <v>1088</v>
      </c>
      <c r="Q46" s="40">
        <v>1496</v>
      </c>
      <c r="R46" s="40">
        <v>204</v>
      </c>
      <c r="S46" s="40">
        <f>R46*4</f>
        <v>816</v>
      </c>
      <c r="T46" s="40">
        <v>6800</v>
      </c>
      <c r="U46" s="40">
        <v>75</v>
      </c>
      <c r="V46" s="40">
        <f>U46*12</f>
        <v>900</v>
      </c>
      <c r="W46" s="40">
        <v>13.6</v>
      </c>
      <c r="X46" s="40">
        <v>68</v>
      </c>
      <c r="Y46" s="40">
        <f>X46*12</f>
        <v>816</v>
      </c>
      <c r="Z46" s="40">
        <v>1904</v>
      </c>
      <c r="AA46" s="40">
        <v>122</v>
      </c>
      <c r="AB46" s="40">
        <v>340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2:AH46"/>
  <sheetViews>
    <sheetView showGridLines="0" workbookViewId="0">
      <pane xSplit="3" ySplit="7" topLeftCell="Y39" activePane="bottomRight" state="frozen"/>
      <selection/>
      <selection pane="topRight"/>
      <selection pane="bottomLeft"/>
      <selection pane="bottomRight" activeCell="AD48" sqref="AD48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W38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W38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W35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W33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9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6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7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W33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5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7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U36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U37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8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0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6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5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U40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5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7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3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U34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U35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U40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8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6" workbookViewId="0">
      <selection activeCell="A1" sqref="$A1:$XFD1048576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46"/>
  <sheetViews>
    <sheetView topLeftCell="V35" workbookViewId="0">
      <selection activeCell="D15" sqref="D15"/>
    </sheetView>
  </sheetViews>
  <sheetFormatPr defaultColWidth="9.14285714285714" defaultRowHeight="15.75"/>
  <cols>
    <col min="1" max="1" width="9.14285714285714" style="1"/>
    <col min="2" max="2" width="8" style="1" customWidth="1"/>
    <col min="3" max="3" width="26.1428571428571" style="1" customWidth="1"/>
    <col min="4" max="4" width="18" style="1" customWidth="1"/>
    <col min="5" max="5" width="8.57142857142857" style="1" customWidth="1"/>
    <col min="6" max="6" width="9.14285714285714" style="1" customWidth="1"/>
    <col min="7" max="10" width="9.14285714285714" style="1"/>
    <col min="11" max="11" width="10.2857142857143" style="1" customWidth="1"/>
    <col min="12" max="13" width="11.4285714285714" style="1" customWidth="1"/>
    <col min="14" max="14" width="10.8571428571429" style="1" customWidth="1"/>
    <col min="15" max="15" width="8.28571428571429" style="1" customWidth="1"/>
    <col min="16" max="16" width="7.85714285714286" style="1" customWidth="1"/>
    <col min="17" max="18" width="9.42857142857143" style="1" customWidth="1"/>
    <col min="19" max="19" width="11" style="1" customWidth="1"/>
    <col min="20" max="21" width="12" style="1" customWidth="1"/>
    <col min="22" max="22" width="13.4285714285714" style="1" customWidth="1"/>
    <col min="23" max="23" width="12.5714285714286" style="1" customWidth="1"/>
    <col min="24" max="24" width="13.5714285714286" style="1" customWidth="1"/>
    <col min="25" max="25" width="13" style="1" customWidth="1"/>
    <col min="26" max="26" width="15" style="1" customWidth="1"/>
    <col min="27" max="28" width="13" style="1" customWidth="1"/>
    <col min="29" max="29" width="13.4285714285714" style="1" customWidth="1"/>
    <col min="30" max="30" width="14.4285714285714" style="1" customWidth="1"/>
    <col min="31" max="31" width="15.4285714285714" style="1" customWidth="1"/>
    <col min="32" max="32" width="11.8571428571429" style="1" customWidth="1"/>
    <col min="33" max="33" width="11.7142857142857" style="1" customWidth="1"/>
    <col min="34" max="34" width="10.8571428571429" style="1" customWidth="1"/>
    <col min="35" max="16384" width="9.14285714285714" style="1"/>
  </cols>
  <sheetData>
    <row r="2" spans="3:4">
      <c r="C2" s="2" t="s">
        <v>14</v>
      </c>
      <c r="D2" s="2"/>
    </row>
    <row r="3" spans="3:4">
      <c r="C3" s="3" t="s">
        <v>15</v>
      </c>
      <c r="D3" s="3"/>
    </row>
    <row r="4" spans="3:4">
      <c r="C4" s="3" t="s">
        <v>16</v>
      </c>
      <c r="D4" s="3"/>
    </row>
    <row r="5" spans="3:4">
      <c r="C5" s="3"/>
      <c r="D5" s="3"/>
    </row>
    <row r="6" ht="18.95" customHeight="1" spans="3:7">
      <c r="C6" s="4" t="s">
        <v>17</v>
      </c>
      <c r="D6" s="5"/>
      <c r="E6" s="6"/>
      <c r="F6" s="6"/>
      <c r="G6" s="6"/>
    </row>
    <row r="7" ht="18.95" customHeight="1" spans="3:7">
      <c r="C7" s="7" t="s">
        <v>18</v>
      </c>
      <c r="D7" s="5"/>
      <c r="E7" s="6"/>
      <c r="F7" s="6"/>
      <c r="G7" s="6"/>
    </row>
    <row r="8" ht="18.95" customHeight="1" spans="3:7">
      <c r="C8" s="7" t="s">
        <v>19</v>
      </c>
      <c r="D8" s="5"/>
      <c r="E8" s="6"/>
      <c r="F8" s="6"/>
      <c r="G8" s="6"/>
    </row>
    <row r="9" ht="6.95" customHeight="1"/>
    <row r="10" ht="46.5" customHeight="1" spans="2:34">
      <c r="B10" s="8" t="s">
        <v>1</v>
      </c>
      <c r="C10" s="8" t="s">
        <v>21</v>
      </c>
      <c r="D10" s="8" t="s">
        <v>22</v>
      </c>
      <c r="E10" s="9" t="s">
        <v>23</v>
      </c>
      <c r="F10" s="10"/>
      <c r="G10" s="11" t="s">
        <v>24</v>
      </c>
      <c r="H10" s="12"/>
      <c r="I10" s="41" t="s">
        <v>25</v>
      </c>
      <c r="J10" s="42"/>
      <c r="K10" s="43" t="s">
        <v>26</v>
      </c>
      <c r="L10" s="44"/>
      <c r="M10" s="45" t="s">
        <v>27</v>
      </c>
      <c r="N10" s="46"/>
      <c r="O10" s="47" t="s">
        <v>28</v>
      </c>
      <c r="P10" s="48"/>
      <c r="Q10" s="73" t="s">
        <v>29</v>
      </c>
      <c r="R10" s="74" t="s">
        <v>30</v>
      </c>
      <c r="S10" s="75"/>
      <c r="T10" s="76" t="s">
        <v>31</v>
      </c>
      <c r="U10" s="77" t="s">
        <v>32</v>
      </c>
      <c r="V10" s="78"/>
      <c r="W10" s="79" t="s">
        <v>33</v>
      </c>
      <c r="X10" s="80" t="s">
        <v>34</v>
      </c>
      <c r="Y10" s="108"/>
      <c r="Z10" s="109" t="s">
        <v>35</v>
      </c>
      <c r="AA10" s="109" t="s">
        <v>36</v>
      </c>
      <c r="AB10" s="109" t="s">
        <v>37</v>
      </c>
      <c r="AC10" s="110" t="s">
        <v>38</v>
      </c>
      <c r="AD10" s="111" t="s">
        <v>66</v>
      </c>
      <c r="AE10" s="111" t="s">
        <v>40</v>
      </c>
      <c r="AF10" s="112" t="s">
        <v>315</v>
      </c>
      <c r="AG10" s="127"/>
      <c r="AH10" s="128"/>
    </row>
    <row r="11" ht="32.45" customHeight="1" spans="2:34">
      <c r="B11" s="13"/>
      <c r="C11" s="13"/>
      <c r="D11" s="13"/>
      <c r="E11" s="14" t="s">
        <v>42</v>
      </c>
      <c r="F11" s="15" t="s">
        <v>43</v>
      </c>
      <c r="G11" s="16" t="s">
        <v>42</v>
      </c>
      <c r="H11" s="17" t="s">
        <v>44</v>
      </c>
      <c r="I11" s="49" t="s">
        <v>42</v>
      </c>
      <c r="J11" s="50" t="s">
        <v>44</v>
      </c>
      <c r="K11" s="51" t="s">
        <v>45</v>
      </c>
      <c r="L11" s="52" t="s">
        <v>46</v>
      </c>
      <c r="M11" s="53" t="s">
        <v>47</v>
      </c>
      <c r="N11" s="53" t="s">
        <v>48</v>
      </c>
      <c r="O11" s="54" t="s">
        <v>42</v>
      </c>
      <c r="P11" s="55" t="s">
        <v>49</v>
      </c>
      <c r="Q11" s="81" t="s">
        <v>42</v>
      </c>
      <c r="R11" s="82" t="s">
        <v>50</v>
      </c>
      <c r="S11" s="83" t="s">
        <v>51</v>
      </c>
      <c r="T11" s="84" t="s">
        <v>42</v>
      </c>
      <c r="U11" s="85" t="s">
        <v>52</v>
      </c>
      <c r="V11" s="85" t="s">
        <v>53</v>
      </c>
      <c r="W11" s="86" t="s">
        <v>42</v>
      </c>
      <c r="X11" s="87" t="s">
        <v>52</v>
      </c>
      <c r="Y11" s="87" t="s">
        <v>53</v>
      </c>
      <c r="Z11" s="113" t="s">
        <v>54</v>
      </c>
      <c r="AA11" s="113" t="s">
        <v>54</v>
      </c>
      <c r="AB11" s="113" t="s">
        <v>54</v>
      </c>
      <c r="AC11" s="114"/>
      <c r="AD11" s="115"/>
      <c r="AE11" s="116"/>
      <c r="AF11" s="117" t="s">
        <v>55</v>
      </c>
      <c r="AG11" s="129" t="s">
        <v>56</v>
      </c>
      <c r="AH11" s="129" t="s">
        <v>57</v>
      </c>
    </row>
    <row r="12" spans="2:34">
      <c r="B12" s="18">
        <f>B11+1</f>
        <v>1</v>
      </c>
      <c r="C12" s="19"/>
      <c r="D12" s="20"/>
      <c r="E12" s="21"/>
      <c r="F12" s="22"/>
      <c r="G12" s="23"/>
      <c r="H12" s="24"/>
      <c r="I12" s="56"/>
      <c r="J12" s="57"/>
      <c r="K12" s="58"/>
      <c r="L12" s="59"/>
      <c r="M12" s="60"/>
      <c r="N12" s="61"/>
      <c r="O12" s="59"/>
      <c r="P12" s="62"/>
      <c r="Q12" s="88"/>
      <c r="R12" s="89"/>
      <c r="S12" s="90"/>
      <c r="T12" s="91"/>
      <c r="U12" s="92"/>
      <c r="V12" s="92"/>
      <c r="W12" s="93"/>
      <c r="X12" s="94"/>
      <c r="Y12" s="94"/>
      <c r="Z12" s="118"/>
      <c r="AA12" s="118"/>
      <c r="AB12" s="118"/>
      <c r="AC12" s="119">
        <f>(E12*E46)+(F12*F46)+(G12*G46)+(H12*H46)+(I12*I46)+(J12*J46)+(K12*K46)+(L12*L46)+(M12*M46)+(N12*N46)+(O12*O46)+(P12*P46)+(Q12*Q46)+(R12*R46)+(S12*S46)+(T12*T46)+(U12*U46)+(V12*V46)+(W12*W46)+(X12*X46)+(Y12*Y46)+(Z12*Z46)+(AA12*AA46)+(AB12*AB46)</f>
        <v>0</v>
      </c>
      <c r="AD12" s="120">
        <f>10%*AC12</f>
        <v>0</v>
      </c>
      <c r="AE12" s="121">
        <f>AC12-AD12</f>
        <v>0</v>
      </c>
      <c r="AF12" s="121">
        <f>AE12/3</f>
        <v>0</v>
      </c>
      <c r="AG12" s="120">
        <f>AF12</f>
        <v>0</v>
      </c>
      <c r="AH12" s="120">
        <f>AG12</f>
        <v>0</v>
      </c>
    </row>
    <row r="13" spans="2:34">
      <c r="B13" s="25">
        <f t="shared" ref="B13:B42" si="0">B12+1</f>
        <v>2</v>
      </c>
      <c r="C13" s="26"/>
      <c r="D13" s="27"/>
      <c r="E13" s="28"/>
      <c r="F13" s="29"/>
      <c r="G13" s="30"/>
      <c r="H13" s="31"/>
      <c r="I13" s="63"/>
      <c r="J13" s="64"/>
      <c r="K13" s="65"/>
      <c r="L13" s="66"/>
      <c r="M13" s="67"/>
      <c r="N13" s="68"/>
      <c r="O13" s="66"/>
      <c r="P13" s="69"/>
      <c r="Q13" s="95"/>
      <c r="R13" s="96"/>
      <c r="S13" s="97"/>
      <c r="T13" s="98"/>
      <c r="U13" s="99"/>
      <c r="V13" s="99"/>
      <c r="W13" s="100"/>
      <c r="X13" s="101"/>
      <c r="Y13" s="101"/>
      <c r="Z13" s="118"/>
      <c r="AA13" s="118"/>
      <c r="AB13" s="118"/>
      <c r="AC13" s="119">
        <f>(E13*E46)+(F13*F46)+(G13*G46)+(H13*H46)+(I13*I46)+(J13*J46)+(K13*K46)+(L13*L46)+(M13*M46)+(N13*N46)+(O13*O46)+(P13*P46)+(Q13*Q46)+(R13*R46)+(S13*S46)+(T13*T46)+(U13*U46)+(V13*V46)+(W13*W46)+(X13*X46)+(Y13*Y46)+(Z13*Z46)+(AA13*AA46)+(AB13*AB46)</f>
        <v>0</v>
      </c>
      <c r="AD13" s="120">
        <f t="shared" ref="AD13:AD42" si="1">10%*AC13</f>
        <v>0</v>
      </c>
      <c r="AE13" s="121">
        <f t="shared" ref="AE13:AE42" si="2">AC13-AD13</f>
        <v>0</v>
      </c>
      <c r="AF13" s="121">
        <f t="shared" ref="AF13:AF42" si="3">AE13/3</f>
        <v>0</v>
      </c>
      <c r="AG13" s="120">
        <f t="shared" ref="AG13:AH28" si="4">AF13</f>
        <v>0</v>
      </c>
      <c r="AH13" s="120">
        <f t="shared" si="4"/>
        <v>0</v>
      </c>
    </row>
    <row r="14" spans="2:34">
      <c r="B14" s="25">
        <f t="shared" si="0"/>
        <v>3</v>
      </c>
      <c r="C14" s="26"/>
      <c r="D14" s="27"/>
      <c r="E14" s="28"/>
      <c r="F14" s="29"/>
      <c r="G14" s="30"/>
      <c r="H14" s="31"/>
      <c r="I14" s="63"/>
      <c r="J14" s="64"/>
      <c r="K14" s="65"/>
      <c r="L14" s="66"/>
      <c r="M14" s="67"/>
      <c r="N14" s="68"/>
      <c r="O14" s="66"/>
      <c r="P14" s="69"/>
      <c r="Q14" s="95"/>
      <c r="R14" s="96"/>
      <c r="S14" s="97"/>
      <c r="T14" s="98"/>
      <c r="U14" s="99"/>
      <c r="V14" s="99"/>
      <c r="W14" s="100"/>
      <c r="X14" s="101"/>
      <c r="Y14" s="101"/>
      <c r="Z14" s="118"/>
      <c r="AA14" s="118"/>
      <c r="AB14" s="118"/>
      <c r="AC14" s="119">
        <f>(E14*E46)+(F14*F46)+(G14*G46)+(H14*H46)+(I14*I46)+(J14*J46)+(K14*K46)+(L14*L46)+(M14*M46)+(N14*N46)+(O14*O46)+(P14*P46)+(Q14*Q46)+(R14*R46)+(S14*S46)+(T14*T46)+(U14*U46)+(V14*V46)+(W14*W46)+(X14*X46)+(Y14*Y46)+(Z14*Z46)+(AA14*AA46)+(AB14*AB46)</f>
        <v>0</v>
      </c>
      <c r="AD14" s="120">
        <f t="shared" si="1"/>
        <v>0</v>
      </c>
      <c r="AE14" s="121">
        <f t="shared" si="2"/>
        <v>0</v>
      </c>
      <c r="AF14" s="121">
        <f t="shared" si="3"/>
        <v>0</v>
      </c>
      <c r="AG14" s="120">
        <f t="shared" si="4"/>
        <v>0</v>
      </c>
      <c r="AH14" s="120">
        <f t="shared" si="4"/>
        <v>0</v>
      </c>
    </row>
    <row r="15" spans="2:34">
      <c r="B15" s="25">
        <f t="shared" si="0"/>
        <v>4</v>
      </c>
      <c r="C15" s="26"/>
      <c r="D15" s="27"/>
      <c r="E15" s="28"/>
      <c r="F15" s="29"/>
      <c r="G15" s="30"/>
      <c r="H15" s="31"/>
      <c r="I15" s="63"/>
      <c r="J15" s="64"/>
      <c r="K15" s="65"/>
      <c r="L15" s="66"/>
      <c r="M15" s="67"/>
      <c r="N15" s="68"/>
      <c r="O15" s="66"/>
      <c r="P15" s="69"/>
      <c r="Q15" s="95"/>
      <c r="R15" s="96"/>
      <c r="S15" s="97"/>
      <c r="T15" s="98"/>
      <c r="U15" s="99"/>
      <c r="V15" s="99"/>
      <c r="W15" s="100"/>
      <c r="X15" s="101"/>
      <c r="Y15" s="101"/>
      <c r="Z15" s="118"/>
      <c r="AA15" s="118"/>
      <c r="AB15" s="118"/>
      <c r="AC15" s="119">
        <f>(E15*E46)+(F15*F46)+(G15*G46)+(H15*H46)+(I15*I46)+(J15*J46)+(K15*K46)+(L15*L46)+(M15*M46)+(N15*N46)+(O15*O46)+(P15*P46)+(Q15*Q46)+(R15*R46)+(S15*S46)+(T15*T46)+(U15*U46)+(V15*V46)+(W15*W46)+(X15*X46)+(Y15*Y46)+(Z15*Z46)+(AA15*AA46)+(AB15*AB46)</f>
        <v>0</v>
      </c>
      <c r="AD15" s="120">
        <f t="shared" si="1"/>
        <v>0</v>
      </c>
      <c r="AE15" s="121">
        <f t="shared" si="2"/>
        <v>0</v>
      </c>
      <c r="AF15" s="121">
        <f t="shared" si="3"/>
        <v>0</v>
      </c>
      <c r="AG15" s="120">
        <f t="shared" si="4"/>
        <v>0</v>
      </c>
      <c r="AH15" s="120">
        <f t="shared" si="4"/>
        <v>0</v>
      </c>
    </row>
    <row r="16" spans="2:34">
      <c r="B16" s="25">
        <f t="shared" si="0"/>
        <v>5</v>
      </c>
      <c r="C16" s="26"/>
      <c r="D16" s="27"/>
      <c r="E16" s="28"/>
      <c r="F16" s="29"/>
      <c r="G16" s="30"/>
      <c r="H16" s="31"/>
      <c r="I16" s="63"/>
      <c r="J16" s="64"/>
      <c r="K16" s="65"/>
      <c r="L16" s="66"/>
      <c r="M16" s="67"/>
      <c r="N16" s="68"/>
      <c r="O16" s="66"/>
      <c r="P16" s="69"/>
      <c r="Q16" s="95"/>
      <c r="R16" s="96"/>
      <c r="S16" s="97"/>
      <c r="T16" s="98"/>
      <c r="U16" s="99"/>
      <c r="V16" s="99"/>
      <c r="W16" s="100"/>
      <c r="X16" s="101"/>
      <c r="Y16" s="101"/>
      <c r="Z16" s="118"/>
      <c r="AA16" s="118"/>
      <c r="AB16" s="118"/>
      <c r="AC16" s="119">
        <f>(E16*E46)+(F16*F46)+(G16*G46)+(H16*H46)+(I16*I46)+(J16*J46)+(K16*K46)+(L16*L46)+(M16*M46)+(N16*N46)+(O16*O46)+(P16*P46)+(Q16*Q46)+(R16*R46)+(S16*S46)+(T16*T46)+(U16*U46)+(V16*V46)+(W16*W46)+(X16*X46)+(Y16*Y46)+(Z16*Z46)+(AA16*AA46)+(AB16*AB46)</f>
        <v>0</v>
      </c>
      <c r="AD16" s="120">
        <f t="shared" si="1"/>
        <v>0</v>
      </c>
      <c r="AE16" s="121">
        <f t="shared" si="2"/>
        <v>0</v>
      </c>
      <c r="AF16" s="121">
        <f t="shared" si="3"/>
        <v>0</v>
      </c>
      <c r="AG16" s="120">
        <f t="shared" si="4"/>
        <v>0</v>
      </c>
      <c r="AH16" s="120">
        <f t="shared" si="4"/>
        <v>0</v>
      </c>
    </row>
    <row r="17" spans="2:34">
      <c r="B17" s="25">
        <f t="shared" si="0"/>
        <v>6</v>
      </c>
      <c r="C17" s="26"/>
      <c r="D17" s="27"/>
      <c r="E17" s="28"/>
      <c r="F17" s="29"/>
      <c r="G17" s="30"/>
      <c r="H17" s="31"/>
      <c r="I17" s="63"/>
      <c r="J17" s="64"/>
      <c r="K17" s="65"/>
      <c r="L17" s="66"/>
      <c r="M17" s="67"/>
      <c r="N17" s="68"/>
      <c r="O17" s="66"/>
      <c r="P17" s="69"/>
      <c r="Q17" s="95"/>
      <c r="R17" s="96"/>
      <c r="S17" s="97"/>
      <c r="T17" s="98"/>
      <c r="U17" s="99"/>
      <c r="V17" s="99"/>
      <c r="W17" s="100"/>
      <c r="X17" s="101"/>
      <c r="Y17" s="101"/>
      <c r="Z17" s="118"/>
      <c r="AA17" s="118"/>
      <c r="AB17" s="118"/>
      <c r="AC17" s="119">
        <f>(E17*E46)+(F17*F46)+(G17*G46)+(H17*H46)+(I17*I46)+(J17*J50)+(K17*K46)+(L17*L46)+(M17*M46)+(N17*N46)+(O17*O46)+(P17*P46)+(Q17*Q46)+(R17*R46)+(S17*S46)+(T17*T46)+(U17*U46)+(V17*V46)+(W17*W46)+(X17*X46)+(Y17*Y46)+(Z17*Z46)+(AA17*AA46)+(AB17*AB46)</f>
        <v>0</v>
      </c>
      <c r="AD17" s="120">
        <f t="shared" si="1"/>
        <v>0</v>
      </c>
      <c r="AE17" s="121">
        <f t="shared" si="2"/>
        <v>0</v>
      </c>
      <c r="AF17" s="121">
        <f t="shared" si="3"/>
        <v>0</v>
      </c>
      <c r="AG17" s="120">
        <f t="shared" si="4"/>
        <v>0</v>
      </c>
      <c r="AH17" s="120">
        <f t="shared" si="4"/>
        <v>0</v>
      </c>
    </row>
    <row r="18" spans="2:34">
      <c r="B18" s="25">
        <f t="shared" si="0"/>
        <v>7</v>
      </c>
      <c r="C18" s="26"/>
      <c r="D18" s="27"/>
      <c r="E18" s="28"/>
      <c r="F18" s="29"/>
      <c r="G18" s="30"/>
      <c r="H18" s="31"/>
      <c r="I18" s="63"/>
      <c r="J18" s="64"/>
      <c r="K18" s="65"/>
      <c r="L18" s="66"/>
      <c r="M18" s="67"/>
      <c r="N18" s="68"/>
      <c r="O18" s="66"/>
      <c r="P18" s="69"/>
      <c r="Q18" s="95"/>
      <c r="R18" s="96"/>
      <c r="S18" s="97"/>
      <c r="T18" s="98"/>
      <c r="U18" s="99"/>
      <c r="V18" s="99"/>
      <c r="W18" s="100"/>
      <c r="X18" s="101"/>
      <c r="Y18" s="101"/>
      <c r="Z18" s="118"/>
      <c r="AA18" s="118"/>
      <c r="AB18" s="118"/>
      <c r="AC18" s="119">
        <f>(E18*E46)+(F18*F46)+(G18*G46)+(H18*H46)+(I18*I46)+(J18*J46)+(K18*K46)+(L18*L46)+(M18*M46)+(N18*N46)+(O18*O46)+(P18*P46)+(Q18*Q46)+(R18*R46)+(S18*S46)+(T18*T46)+(U18*U46)+(V18*V46)+(W18*W46)+(X18*X46)+(Y18*Y46)+(Z18*Z46)+(AA18*AA46)+(AB18*AB46)</f>
        <v>0</v>
      </c>
      <c r="AD18" s="120">
        <f t="shared" si="1"/>
        <v>0</v>
      </c>
      <c r="AE18" s="121">
        <f t="shared" si="2"/>
        <v>0</v>
      </c>
      <c r="AF18" s="121">
        <f t="shared" si="3"/>
        <v>0</v>
      </c>
      <c r="AG18" s="120">
        <f t="shared" si="4"/>
        <v>0</v>
      </c>
      <c r="AH18" s="120">
        <f t="shared" si="4"/>
        <v>0</v>
      </c>
    </row>
    <row r="19" spans="2:34">
      <c r="B19" s="25">
        <f t="shared" si="0"/>
        <v>8</v>
      </c>
      <c r="C19" s="26"/>
      <c r="D19" s="27"/>
      <c r="E19" s="28"/>
      <c r="F19" s="29"/>
      <c r="G19" s="30"/>
      <c r="H19" s="31"/>
      <c r="I19" s="63"/>
      <c r="J19" s="64"/>
      <c r="K19" s="65"/>
      <c r="L19" s="66"/>
      <c r="M19" s="67"/>
      <c r="N19" s="68"/>
      <c r="O19" s="66"/>
      <c r="P19" s="69"/>
      <c r="Q19" s="95"/>
      <c r="R19" s="96"/>
      <c r="S19" s="97"/>
      <c r="T19" s="98"/>
      <c r="U19" s="99"/>
      <c r="V19" s="99"/>
      <c r="W19" s="100"/>
      <c r="X19" s="101"/>
      <c r="Y19" s="101"/>
      <c r="Z19" s="118"/>
      <c r="AA19" s="118"/>
      <c r="AB19" s="118"/>
      <c r="AC19" s="119">
        <f>(E19*E46)+(F19*F46)+(G19*G46)+(H19*H46)+(I19*I46)+(J19*J46)+(K19*K46)+(L19*L46)+(M19*M46)+(N19*N46)+(O19*O46)+(P19*P46)+(Q19*Q46)+(R19*R46)+(S19*S46)+(T19*T46)+(U19*U46)+(V19*V46)+(W19*W46)+(X19*X46)+(Y19*Y46)+(Z19*Z46)+(AA19*AA46)+(AB19*AB46)</f>
        <v>0</v>
      </c>
      <c r="AD19" s="120">
        <f t="shared" si="1"/>
        <v>0</v>
      </c>
      <c r="AE19" s="121">
        <f t="shared" si="2"/>
        <v>0</v>
      </c>
      <c r="AF19" s="121">
        <f t="shared" si="3"/>
        <v>0</v>
      </c>
      <c r="AG19" s="120">
        <f t="shared" si="4"/>
        <v>0</v>
      </c>
      <c r="AH19" s="120">
        <f t="shared" si="4"/>
        <v>0</v>
      </c>
    </row>
    <row r="20" spans="2:34">
      <c r="B20" s="25">
        <f t="shared" si="0"/>
        <v>9</v>
      </c>
      <c r="C20" s="26"/>
      <c r="D20" s="27"/>
      <c r="E20" s="28"/>
      <c r="F20" s="29"/>
      <c r="G20" s="30"/>
      <c r="H20" s="31"/>
      <c r="I20" s="63"/>
      <c r="J20" s="64"/>
      <c r="K20" s="65"/>
      <c r="L20" s="66"/>
      <c r="M20" s="67"/>
      <c r="N20" s="68"/>
      <c r="O20" s="66"/>
      <c r="P20" s="69"/>
      <c r="Q20" s="95"/>
      <c r="R20" s="96"/>
      <c r="S20" s="97"/>
      <c r="T20" s="98"/>
      <c r="U20" s="99"/>
      <c r="V20" s="99"/>
      <c r="W20" s="100"/>
      <c r="X20" s="101"/>
      <c r="Y20" s="101"/>
      <c r="Z20" s="118"/>
      <c r="AA20" s="118"/>
      <c r="AB20" s="118"/>
      <c r="AC20" s="119">
        <f>(E20*E46)+(F20*F46)+(G20*G46)+(H20*H46)+(I20*I46)+(J20*J46)+(K20*K46)+(L20*L46)+(M20*M46)+(N20*N46)+(O20*O46)+(P20*P46)+(Q20*Q46)+(R20*R46)+(S20*S46)+(T20*T46)+(U20*U46)+(V20*V46)+(W20*W46)+(X20*X46)+(Y20*Y46)+(Z20*Z46)+(AA20*AA46)+(AB20*AB46)</f>
        <v>0</v>
      </c>
      <c r="AD20" s="120">
        <f t="shared" si="1"/>
        <v>0</v>
      </c>
      <c r="AE20" s="121">
        <f t="shared" si="2"/>
        <v>0</v>
      </c>
      <c r="AF20" s="121">
        <f t="shared" si="3"/>
        <v>0</v>
      </c>
      <c r="AG20" s="120">
        <f t="shared" si="4"/>
        <v>0</v>
      </c>
      <c r="AH20" s="120">
        <f t="shared" si="4"/>
        <v>0</v>
      </c>
    </row>
    <row r="21" spans="2:34">
      <c r="B21" s="25">
        <f t="shared" si="0"/>
        <v>10</v>
      </c>
      <c r="C21" s="26"/>
      <c r="D21" s="27"/>
      <c r="E21" s="28"/>
      <c r="F21" s="29"/>
      <c r="G21" s="30"/>
      <c r="H21" s="31"/>
      <c r="I21" s="63"/>
      <c r="J21" s="64"/>
      <c r="K21" s="65"/>
      <c r="L21" s="66"/>
      <c r="M21" s="67"/>
      <c r="N21" s="68"/>
      <c r="O21" s="66"/>
      <c r="P21" s="69"/>
      <c r="Q21" s="95"/>
      <c r="R21" s="96"/>
      <c r="S21" s="97"/>
      <c r="T21" s="98"/>
      <c r="U21" s="99"/>
      <c r="V21" s="99"/>
      <c r="W21" s="100"/>
      <c r="X21" s="101"/>
      <c r="Y21" s="101"/>
      <c r="Z21" s="118"/>
      <c r="AA21" s="118"/>
      <c r="AB21" s="118"/>
      <c r="AC21" s="119">
        <f>(E21*E46)+(F21*F46)+(G21*G46)+(H21*H46)+(I21*I46)+(J21*J46)+(K21*K46)+(L21*L46)+(M21*M46)+(N21*N46)+(O21*O46)+(P21*P46)+(Q21*Q46)+(R21*R46)+(S21*S46)+(T21*T46)+(U21*U46)+(V21*V46)+(W21*W46)+(X21*X46)+(Y21*Y46)+(Z21*Z46)+(AA21*AA46)+(AB21*AB46)</f>
        <v>0</v>
      </c>
      <c r="AD21" s="120">
        <f t="shared" si="1"/>
        <v>0</v>
      </c>
      <c r="AE21" s="121">
        <f t="shared" si="2"/>
        <v>0</v>
      </c>
      <c r="AF21" s="121">
        <f t="shared" si="3"/>
        <v>0</v>
      </c>
      <c r="AG21" s="120">
        <f t="shared" si="4"/>
        <v>0</v>
      </c>
      <c r="AH21" s="120">
        <f t="shared" si="4"/>
        <v>0</v>
      </c>
    </row>
    <row r="22" spans="2:34">
      <c r="B22" s="25">
        <f t="shared" si="0"/>
        <v>11</v>
      </c>
      <c r="C22" s="26"/>
      <c r="D22" s="27"/>
      <c r="E22" s="28"/>
      <c r="F22" s="29"/>
      <c r="G22" s="30"/>
      <c r="H22" s="31"/>
      <c r="I22" s="63"/>
      <c r="J22" s="64"/>
      <c r="K22" s="65"/>
      <c r="L22" s="66"/>
      <c r="M22" s="67"/>
      <c r="N22" s="68"/>
      <c r="O22" s="66"/>
      <c r="P22" s="69"/>
      <c r="Q22" s="95"/>
      <c r="R22" s="96"/>
      <c r="S22" s="97"/>
      <c r="T22" s="98"/>
      <c r="U22" s="99"/>
      <c r="V22" s="99"/>
      <c r="W22" s="100"/>
      <c r="X22" s="101"/>
      <c r="Y22" s="101"/>
      <c r="Z22" s="118"/>
      <c r="AA22" s="118"/>
      <c r="AB22" s="118"/>
      <c r="AC22" s="119">
        <f>(E22*E46)+(F22*F46)+(G22*G46)+(H22*H46)+(I22*I46)+(J22*J46)+(K22*K46)+(L22*L46)+(M22*M46)+(N22*N46)+(O22*O46)+(P22*P46)+(Q22*Q46)+(R22*R46)+(S22*S46)+(T22*T46)+(U22*U46)+(V22*V46)+(W22*W46)+(X22*X46)+(Y22*Y46)+(Z22*Z46)+(AA22*AA46)+(AB22*AB46)</f>
        <v>0</v>
      </c>
      <c r="AD22" s="120">
        <f t="shared" si="1"/>
        <v>0</v>
      </c>
      <c r="AE22" s="121">
        <f t="shared" si="2"/>
        <v>0</v>
      </c>
      <c r="AF22" s="121">
        <f t="shared" si="3"/>
        <v>0</v>
      </c>
      <c r="AG22" s="120">
        <f t="shared" si="4"/>
        <v>0</v>
      </c>
      <c r="AH22" s="120">
        <f t="shared" si="4"/>
        <v>0</v>
      </c>
    </row>
    <row r="23" spans="2:34">
      <c r="B23" s="25">
        <f t="shared" si="0"/>
        <v>12</v>
      </c>
      <c r="C23" s="32"/>
      <c r="D23" s="27"/>
      <c r="E23" s="28"/>
      <c r="F23" s="29"/>
      <c r="G23" s="30"/>
      <c r="H23" s="31"/>
      <c r="I23" s="63"/>
      <c r="J23" s="64"/>
      <c r="K23" s="65"/>
      <c r="L23" s="66"/>
      <c r="M23" s="67"/>
      <c r="N23" s="68"/>
      <c r="O23" s="66"/>
      <c r="P23" s="69"/>
      <c r="Q23" s="95"/>
      <c r="R23" s="96"/>
      <c r="S23" s="97"/>
      <c r="T23" s="98"/>
      <c r="U23" s="99"/>
      <c r="V23" s="99"/>
      <c r="W23" s="100"/>
      <c r="X23" s="101"/>
      <c r="Y23" s="101"/>
      <c r="Z23" s="118"/>
      <c r="AA23" s="118"/>
      <c r="AB23" s="118"/>
      <c r="AC23" s="119">
        <f>(E23*E46)+(F23*F46)+(G23*G46)+(H23*H46)+(I23*I46)+(J23*J46)+(K23*K46)+(L23*L46)+(M23*M46)+(N23*N46)+(O23*O46)+(P23*P46)+(Q23*Q46)+(R23*R46)+(S23*S46)+(T23*T46)+(U23*U46)+(V23*V46)+(W23*W46)+(X23*X46)+(Y23*Y46)+(Z23*Z46)+(AA23*AA46)+(AB23*AB46)</f>
        <v>0</v>
      </c>
      <c r="AD23" s="120">
        <f t="shared" si="1"/>
        <v>0</v>
      </c>
      <c r="AE23" s="121">
        <f t="shared" si="2"/>
        <v>0</v>
      </c>
      <c r="AF23" s="121">
        <f t="shared" si="3"/>
        <v>0</v>
      </c>
      <c r="AG23" s="120">
        <f t="shared" si="4"/>
        <v>0</v>
      </c>
      <c r="AH23" s="120">
        <f t="shared" si="4"/>
        <v>0</v>
      </c>
    </row>
    <row r="24" spans="2:34">
      <c r="B24" s="25">
        <f t="shared" si="0"/>
        <v>13</v>
      </c>
      <c r="C24" s="32"/>
      <c r="D24" s="27"/>
      <c r="E24" s="28"/>
      <c r="F24" s="29"/>
      <c r="G24" s="30"/>
      <c r="H24" s="31"/>
      <c r="I24" s="63"/>
      <c r="J24" s="64"/>
      <c r="K24" s="65"/>
      <c r="L24" s="66"/>
      <c r="M24" s="67"/>
      <c r="N24" s="68"/>
      <c r="O24" s="66"/>
      <c r="P24" s="69"/>
      <c r="Q24" s="95"/>
      <c r="R24" s="96"/>
      <c r="S24" s="97"/>
      <c r="T24" s="98"/>
      <c r="U24" s="99"/>
      <c r="V24" s="99"/>
      <c r="W24" s="100"/>
      <c r="X24" s="101"/>
      <c r="Y24" s="101"/>
      <c r="Z24" s="118"/>
      <c r="AA24" s="118"/>
      <c r="AB24" s="118"/>
      <c r="AC24" s="119">
        <f>(E24*E46)+(F24*F46)+(G24*G46)+(H24*H46)+(I24*I46)+(J24*J46)+(K24*K46)+(L24*L46)+(M24*M46)+(N24*N46)+(O24*O46)+(P24*P46)+(Q24*Q46)+(R24*R46)+(S24*S46)+(T24*T46)+(U24*U46)+(V24*V46)+(W24*W46)+(X24*X46)+(Y24*Y46)+(Z24*Z46)+(AA24*AA46)+(AB24*AB46)</f>
        <v>0</v>
      </c>
      <c r="AD24" s="120">
        <f t="shared" si="1"/>
        <v>0</v>
      </c>
      <c r="AE24" s="121">
        <f t="shared" si="2"/>
        <v>0</v>
      </c>
      <c r="AF24" s="121">
        <f t="shared" si="3"/>
        <v>0</v>
      </c>
      <c r="AG24" s="120">
        <f t="shared" si="4"/>
        <v>0</v>
      </c>
      <c r="AH24" s="120">
        <f t="shared" si="4"/>
        <v>0</v>
      </c>
    </row>
    <row r="25" spans="2:34">
      <c r="B25" s="25">
        <f t="shared" si="0"/>
        <v>14</v>
      </c>
      <c r="C25" s="32"/>
      <c r="D25" s="27"/>
      <c r="E25" s="28"/>
      <c r="F25" s="29"/>
      <c r="G25" s="30"/>
      <c r="H25" s="31"/>
      <c r="I25" s="63"/>
      <c r="J25" s="64"/>
      <c r="K25" s="65"/>
      <c r="L25" s="66"/>
      <c r="M25" s="67"/>
      <c r="N25" s="68"/>
      <c r="O25" s="66"/>
      <c r="P25" s="69"/>
      <c r="Q25" s="95"/>
      <c r="R25" s="96"/>
      <c r="S25" s="97"/>
      <c r="T25" s="98"/>
      <c r="U25" s="99"/>
      <c r="V25" s="99"/>
      <c r="W25" s="100"/>
      <c r="X25" s="101"/>
      <c r="Y25" s="101"/>
      <c r="Z25" s="118"/>
      <c r="AA25" s="118"/>
      <c r="AB25" s="118"/>
      <c r="AC25" s="119">
        <f>(E25*E46)+(F25*F46)+(G25*G46)+(H25*H46)+(I25*I46)+(J25*J46)+(K25*J46)+(L25*L46)+(M25*M46)+(N25*N46)+(O25*O46)+(P25*P46)+(Q25*Q46)+(R25*R46)+(S25*S46)+(T25*T46)+(U25*U46)+(V25*V46)+(W25*W46)+(X25*X46)+(Y25*Y46)+(Z25*Z46)+(AA25*AA46)+(AB25*AB46)</f>
        <v>0</v>
      </c>
      <c r="AD25" s="120">
        <f t="shared" si="1"/>
        <v>0</v>
      </c>
      <c r="AE25" s="121">
        <f t="shared" si="2"/>
        <v>0</v>
      </c>
      <c r="AF25" s="121">
        <f t="shared" si="3"/>
        <v>0</v>
      </c>
      <c r="AG25" s="120">
        <f t="shared" si="4"/>
        <v>0</v>
      </c>
      <c r="AH25" s="120">
        <f t="shared" si="4"/>
        <v>0</v>
      </c>
    </row>
    <row r="26" spans="2:34">
      <c r="B26" s="25">
        <f t="shared" si="0"/>
        <v>15</v>
      </c>
      <c r="C26" s="32"/>
      <c r="D26" s="27"/>
      <c r="E26" s="28"/>
      <c r="F26" s="29"/>
      <c r="G26" s="30"/>
      <c r="H26" s="31"/>
      <c r="I26" s="63"/>
      <c r="J26" s="64"/>
      <c r="K26" s="65"/>
      <c r="L26" s="66"/>
      <c r="M26" s="67"/>
      <c r="N26" s="68"/>
      <c r="O26" s="66"/>
      <c r="P26" s="69"/>
      <c r="Q26" s="95"/>
      <c r="R26" s="96"/>
      <c r="S26" s="97"/>
      <c r="T26" s="98"/>
      <c r="U26" s="99"/>
      <c r="V26" s="99"/>
      <c r="W26" s="100"/>
      <c r="X26" s="101"/>
      <c r="Y26" s="101"/>
      <c r="Z26" s="118"/>
      <c r="AA26" s="118"/>
      <c r="AB26" s="118"/>
      <c r="AC26" s="119">
        <f>(E26*E46)+(F26*F46)+(G26*G46)+(H26*H46)+(I26*I46)+(J26*J46)+(K26*K46)+(L26*L46)+(M26*M46)+(N26*N46)+(O26*O46)+(P26*P46)+(Q26*Q46)+(R26*R46)+(S26*S46)+(T26*T46)+(U26*U46)+(V26*V46)+(W26*W46)+(X26*X46)+(Y26*Y46)+(Z26*Z46)+(AA26*AA46)+(AB26*AB46)</f>
        <v>0</v>
      </c>
      <c r="AD26" s="120">
        <f t="shared" si="1"/>
        <v>0</v>
      </c>
      <c r="AE26" s="121">
        <f t="shared" si="2"/>
        <v>0</v>
      </c>
      <c r="AF26" s="121">
        <f t="shared" si="3"/>
        <v>0</v>
      </c>
      <c r="AG26" s="120">
        <f t="shared" si="4"/>
        <v>0</v>
      </c>
      <c r="AH26" s="120">
        <f t="shared" si="4"/>
        <v>0</v>
      </c>
    </row>
    <row r="27" spans="2:34">
      <c r="B27" s="25">
        <f t="shared" si="0"/>
        <v>16</v>
      </c>
      <c r="C27" s="32"/>
      <c r="D27" s="27"/>
      <c r="E27" s="28"/>
      <c r="F27" s="29"/>
      <c r="G27" s="30"/>
      <c r="H27" s="31"/>
      <c r="I27" s="63"/>
      <c r="J27" s="64"/>
      <c r="K27" s="65"/>
      <c r="L27" s="66"/>
      <c r="M27" s="67"/>
      <c r="N27" s="68"/>
      <c r="O27" s="66"/>
      <c r="P27" s="69"/>
      <c r="Q27" s="95"/>
      <c r="R27" s="96"/>
      <c r="S27" s="97"/>
      <c r="T27" s="98"/>
      <c r="U27" s="99"/>
      <c r="V27" s="99"/>
      <c r="W27" s="100"/>
      <c r="X27" s="101"/>
      <c r="Y27" s="101"/>
      <c r="Z27" s="118"/>
      <c r="AA27" s="118"/>
      <c r="AB27" s="118"/>
      <c r="AC27" s="119">
        <f>(E27*E46)+(F27*F46)+(G27*G46)+(H27*H46)+(I27*I46)+(J27*J46)+(K27*K46)+(L27*L46)+(M27*M46)+(N27*N46)+(O27*O46)+(P27*P46)+(Q27*Q46)+(R27*R46)+(S27*S46)+(T27*T46)+(U27*U46)+(V27*V46)+(W27*W46)+(X27*X46)+(Y27*Y46)+(Z27*Z46)+(AA27*AA46)+(AB27*AB46)</f>
        <v>0</v>
      </c>
      <c r="AD27" s="120">
        <f t="shared" si="1"/>
        <v>0</v>
      </c>
      <c r="AE27" s="121">
        <f t="shared" si="2"/>
        <v>0</v>
      </c>
      <c r="AF27" s="121">
        <f t="shared" si="3"/>
        <v>0</v>
      </c>
      <c r="AG27" s="120">
        <f t="shared" si="4"/>
        <v>0</v>
      </c>
      <c r="AH27" s="120">
        <f t="shared" si="4"/>
        <v>0</v>
      </c>
    </row>
    <row r="28" spans="2:34">
      <c r="B28" s="25">
        <f t="shared" si="0"/>
        <v>17</v>
      </c>
      <c r="C28" s="32"/>
      <c r="D28" s="27"/>
      <c r="E28" s="28"/>
      <c r="F28" s="29"/>
      <c r="G28" s="30"/>
      <c r="H28" s="31"/>
      <c r="I28" s="63"/>
      <c r="J28" s="64"/>
      <c r="K28" s="65"/>
      <c r="L28" s="66"/>
      <c r="M28" s="67"/>
      <c r="N28" s="68"/>
      <c r="O28" s="66"/>
      <c r="P28" s="69"/>
      <c r="Q28" s="95"/>
      <c r="R28" s="96"/>
      <c r="S28" s="97"/>
      <c r="T28" s="98"/>
      <c r="U28" s="99"/>
      <c r="V28" s="99"/>
      <c r="W28" s="100"/>
      <c r="X28" s="101"/>
      <c r="Y28" s="101"/>
      <c r="Z28" s="118"/>
      <c r="AA28" s="118"/>
      <c r="AB28" s="118"/>
      <c r="AC28" s="119">
        <f>(E28*E46)+(F28*F46)+(G28*G46)+(H28*H46)+(I28*I46)+(J28*J46)+(K28*J46)+(L28*L46)+(M28*M46)+(N28*N46)+(O28*O46)+(P28*P46)+(Q28*Q46)+(R28*R46)+(S28*S46)+(T28*T46)+(U28*U46)+(V28*V46)+(W28*W46)+(X28*X46)+(Y28*Y46)+(Z28*Z46)+(AA28*AA46)+(AB28*AB46)</f>
        <v>0</v>
      </c>
      <c r="AD28" s="120">
        <f t="shared" si="1"/>
        <v>0</v>
      </c>
      <c r="AE28" s="121">
        <f t="shared" si="2"/>
        <v>0</v>
      </c>
      <c r="AF28" s="121">
        <f t="shared" si="3"/>
        <v>0</v>
      </c>
      <c r="AG28" s="120">
        <f t="shared" si="4"/>
        <v>0</v>
      </c>
      <c r="AH28" s="120">
        <f t="shared" si="4"/>
        <v>0</v>
      </c>
    </row>
    <row r="29" spans="2:34">
      <c r="B29" s="25">
        <f t="shared" si="0"/>
        <v>18</v>
      </c>
      <c r="C29" s="32"/>
      <c r="D29" s="27"/>
      <c r="E29" s="28"/>
      <c r="F29" s="29"/>
      <c r="G29" s="30"/>
      <c r="H29" s="31"/>
      <c r="I29" s="63"/>
      <c r="J29" s="64"/>
      <c r="K29" s="65"/>
      <c r="L29" s="66"/>
      <c r="M29" s="67"/>
      <c r="N29" s="68"/>
      <c r="O29" s="66"/>
      <c r="P29" s="69"/>
      <c r="Q29" s="95"/>
      <c r="R29" s="96"/>
      <c r="S29" s="97"/>
      <c r="T29" s="98"/>
      <c r="U29" s="99"/>
      <c r="V29" s="99"/>
      <c r="W29" s="100"/>
      <c r="X29" s="101"/>
      <c r="Y29" s="101"/>
      <c r="Z29" s="118"/>
      <c r="AA29" s="118"/>
      <c r="AB29" s="118"/>
      <c r="AC29" s="119">
        <f>(E29*E46)+(F29*F46)+(G29*G46)+(H29*H46)+(I29*I46)+(J29*J46)+(K29*K46)+(L29*L46)+(M29*M46)+(N29*N46)+(O29*O46)+(P29*P46)+(Q29*Q46)+(R29*R46)+(S29*S46)+(T29*T46)+(U29*U46)+(V29*V46)+(W29*W46)+(X29*X46)+(Y29*Y46)+(Z29*Z46)+(AA29*AA46)+(AB29*AB46)</f>
        <v>0</v>
      </c>
      <c r="AD29" s="120">
        <f t="shared" si="1"/>
        <v>0</v>
      </c>
      <c r="AE29" s="121">
        <f t="shared" si="2"/>
        <v>0</v>
      </c>
      <c r="AF29" s="121">
        <f t="shared" si="3"/>
        <v>0</v>
      </c>
      <c r="AG29" s="120">
        <f t="shared" ref="AG29:AH42" si="5">AF29</f>
        <v>0</v>
      </c>
      <c r="AH29" s="120">
        <f t="shared" si="5"/>
        <v>0</v>
      </c>
    </row>
    <row r="30" spans="2:34">
      <c r="B30" s="25">
        <f t="shared" si="0"/>
        <v>19</v>
      </c>
      <c r="C30" s="32"/>
      <c r="D30" s="27"/>
      <c r="E30" s="28"/>
      <c r="F30" s="29"/>
      <c r="G30" s="30"/>
      <c r="H30" s="31"/>
      <c r="I30" s="63"/>
      <c r="J30" s="64"/>
      <c r="K30" s="65"/>
      <c r="L30" s="66"/>
      <c r="M30" s="67"/>
      <c r="N30" s="68"/>
      <c r="O30" s="66"/>
      <c r="P30" s="69"/>
      <c r="Q30" s="95"/>
      <c r="R30" s="96"/>
      <c r="S30" s="97"/>
      <c r="T30" s="98"/>
      <c r="U30" s="99"/>
      <c r="V30" s="99"/>
      <c r="W30" s="100"/>
      <c r="X30" s="101"/>
      <c r="Y30" s="101"/>
      <c r="Z30" s="118"/>
      <c r="AA30" s="118"/>
      <c r="AB30" s="118"/>
      <c r="AC30" s="119">
        <f>(E30*E46)+(F30*F46)+(G30*G46)+(H30*H46)+(I30*I46)+(J30*J46)+(K30*K46)+(L30*L46)+(M30*M46)+(N30*N46)+(O30*O46)+(P30*P46)+(Q30*Q46)+(R30*R46)+(S30*S46)+(T30*T46)+(U30*U46)+(V30*V46)+(W30*W46)+(X30*X46)+(Y30*Y46)+(Z30*Z46)+(AA30*AA46)+(AB30*AB46)</f>
        <v>0</v>
      </c>
      <c r="AD30" s="120">
        <f t="shared" si="1"/>
        <v>0</v>
      </c>
      <c r="AE30" s="121">
        <f t="shared" si="2"/>
        <v>0</v>
      </c>
      <c r="AF30" s="121">
        <f t="shared" si="3"/>
        <v>0</v>
      </c>
      <c r="AG30" s="120">
        <f t="shared" si="5"/>
        <v>0</v>
      </c>
      <c r="AH30" s="120">
        <f t="shared" si="5"/>
        <v>0</v>
      </c>
    </row>
    <row r="31" spans="2:34">
      <c r="B31" s="25">
        <f t="shared" si="0"/>
        <v>20</v>
      </c>
      <c r="C31" s="32"/>
      <c r="D31" s="27"/>
      <c r="E31" s="28"/>
      <c r="F31" s="29"/>
      <c r="G31" s="30"/>
      <c r="H31" s="31"/>
      <c r="I31" s="63"/>
      <c r="J31" s="64"/>
      <c r="K31" s="65"/>
      <c r="L31" s="66"/>
      <c r="M31" s="67"/>
      <c r="N31" s="68"/>
      <c r="O31" s="66"/>
      <c r="P31" s="69"/>
      <c r="Q31" s="95"/>
      <c r="R31" s="96"/>
      <c r="S31" s="97"/>
      <c r="T31" s="98"/>
      <c r="U31" s="99"/>
      <c r="V31" s="99"/>
      <c r="W31" s="100"/>
      <c r="X31" s="101"/>
      <c r="Y31" s="101"/>
      <c r="Z31" s="118"/>
      <c r="AA31" s="118"/>
      <c r="AB31" s="118"/>
      <c r="AC31" s="119">
        <f>(E31*E46)+(F31*F46)+(G31*G46)+(H31*H46)+(I31*I46)+(J31*J46)+(K31*J46)+(L31*L46)+(M31*M46)+(N31*N46)+(O31*O46)+(P31*P46)+(Q31*Q46)+(R31*R46)+(S31*S46)+(T31*T46)+(U31*U46)+(V31*V46)+(W31*W46)+(X31*X46)+(Y31*Y46)+(Z31*Z46)+(AA31*AA46)+(AB31*AB46)</f>
        <v>0</v>
      </c>
      <c r="AD31" s="120">
        <f t="shared" si="1"/>
        <v>0</v>
      </c>
      <c r="AE31" s="121">
        <f t="shared" si="2"/>
        <v>0</v>
      </c>
      <c r="AF31" s="121">
        <f t="shared" si="3"/>
        <v>0</v>
      </c>
      <c r="AG31" s="120">
        <f t="shared" si="5"/>
        <v>0</v>
      </c>
      <c r="AH31" s="120">
        <f t="shared" si="5"/>
        <v>0</v>
      </c>
    </row>
    <row r="32" spans="2:34">
      <c r="B32" s="25">
        <f t="shared" si="0"/>
        <v>21</v>
      </c>
      <c r="C32" s="32"/>
      <c r="D32" s="27"/>
      <c r="E32" s="28"/>
      <c r="F32" s="29"/>
      <c r="G32" s="30"/>
      <c r="H32" s="31"/>
      <c r="I32" s="63"/>
      <c r="J32" s="64"/>
      <c r="K32" s="65"/>
      <c r="L32" s="66"/>
      <c r="M32" s="67"/>
      <c r="N32" s="68"/>
      <c r="O32" s="66"/>
      <c r="P32" s="69"/>
      <c r="Q32" s="95"/>
      <c r="R32" s="96"/>
      <c r="S32" s="97"/>
      <c r="T32" s="98"/>
      <c r="U32" s="99"/>
      <c r="V32" s="99"/>
      <c r="W32" s="100"/>
      <c r="X32" s="101"/>
      <c r="Y32" s="101"/>
      <c r="Z32" s="118"/>
      <c r="AA32" s="118"/>
      <c r="AB32" s="118"/>
      <c r="AC32" s="119">
        <f>(E32*E46)+(F32*F46)+(G32*G46)+(H32*H46)+(I32*I46)+(J32*J46)+(K32*K46)+(L32*L46)+(M32*M46)+(N32*N46)+(O32*O46)+(P32*P46)+(Q32*Q46)+(R32*R46)+(S32*S46)+(T32*T46)+(U32*U46)+(V32*V46)+(W32*W46)+(X32*X46)+(Y32*Y46)+(Z32*Z46)+(AA32*AA46)+(AB32*AB46)</f>
        <v>0</v>
      </c>
      <c r="AD32" s="120">
        <f t="shared" si="1"/>
        <v>0</v>
      </c>
      <c r="AE32" s="121">
        <f t="shared" si="2"/>
        <v>0</v>
      </c>
      <c r="AF32" s="121">
        <f t="shared" si="3"/>
        <v>0</v>
      </c>
      <c r="AG32" s="120">
        <f t="shared" si="5"/>
        <v>0</v>
      </c>
      <c r="AH32" s="120">
        <f t="shared" si="5"/>
        <v>0</v>
      </c>
    </row>
    <row r="33" spans="2:34">
      <c r="B33" s="25">
        <f t="shared" si="0"/>
        <v>22</v>
      </c>
      <c r="C33" s="32"/>
      <c r="D33" s="27"/>
      <c r="E33" s="28"/>
      <c r="F33" s="29"/>
      <c r="G33" s="30"/>
      <c r="H33" s="31"/>
      <c r="I33" s="63"/>
      <c r="J33" s="64"/>
      <c r="K33" s="65"/>
      <c r="L33" s="66"/>
      <c r="M33" s="67"/>
      <c r="N33" s="68"/>
      <c r="O33" s="66"/>
      <c r="P33" s="69"/>
      <c r="Q33" s="95"/>
      <c r="R33" s="96"/>
      <c r="S33" s="97"/>
      <c r="T33" s="98"/>
      <c r="U33" s="99"/>
      <c r="V33" s="99"/>
      <c r="W33" s="100"/>
      <c r="X33" s="101"/>
      <c r="Y33" s="101"/>
      <c r="Z33" s="118"/>
      <c r="AA33" s="118"/>
      <c r="AB33" s="118"/>
      <c r="AC33" s="119">
        <f>(E33*E46)+(F33*F46)+(G33*G46)+(H33*H46)+(I33*I46)+(J33*J46)+(K33*K46)+(L33*L46)+(M33*M46)+(N33*N46)+(O33*O46)+(P33*P46)+(Q33*Q46)+(R33*R46)+(S33*S46)+(T33*T46)+(U33*U46)+(V33*V46)+(W33*W46)+(X33*X46)+(Y33*Y46)+(Z33*Z46)+(AA33*AA46)+(AB33*AB46)</f>
        <v>0</v>
      </c>
      <c r="AD33" s="120">
        <f t="shared" si="1"/>
        <v>0</v>
      </c>
      <c r="AE33" s="121">
        <f t="shared" si="2"/>
        <v>0</v>
      </c>
      <c r="AF33" s="121">
        <f t="shared" si="3"/>
        <v>0</v>
      </c>
      <c r="AG33" s="120">
        <f t="shared" si="5"/>
        <v>0</v>
      </c>
      <c r="AH33" s="120">
        <f t="shared" si="5"/>
        <v>0</v>
      </c>
    </row>
    <row r="34" spans="2:34">
      <c r="B34" s="25">
        <f t="shared" si="0"/>
        <v>23</v>
      </c>
      <c r="C34" s="32"/>
      <c r="D34" s="27"/>
      <c r="E34" s="28"/>
      <c r="F34" s="29"/>
      <c r="G34" s="30"/>
      <c r="H34" s="31"/>
      <c r="I34" s="63"/>
      <c r="J34" s="64"/>
      <c r="K34" s="65"/>
      <c r="L34" s="66"/>
      <c r="M34" s="67"/>
      <c r="N34" s="68"/>
      <c r="O34" s="66"/>
      <c r="P34" s="69"/>
      <c r="Q34" s="95"/>
      <c r="R34" s="96"/>
      <c r="S34" s="97"/>
      <c r="T34" s="98"/>
      <c r="U34" s="99"/>
      <c r="V34" s="99"/>
      <c r="W34" s="100"/>
      <c r="X34" s="101"/>
      <c r="Y34" s="101"/>
      <c r="Z34" s="118"/>
      <c r="AA34" s="118"/>
      <c r="AB34" s="118"/>
      <c r="AC34" s="119">
        <f>(E34*E46)+(F34*F46)+(G34*G46)+(H34*H46)+(I34*I46)+(J34*J46)+(K34*J46)+(L34*L46)+(M34*M46)+(N34*N46)+(O34*O46)+(P34*P46)+(Q34*Q46)+(R34*R46)+(S34*S46)+(T34*T46)+(U34*U46)+(V34*V46)+(W34*W46)+(X34*X46)+(Y34*Y46)+(Z34*Z46)+(AA34*AA46)+(AB34*AB46)</f>
        <v>0</v>
      </c>
      <c r="AD34" s="120">
        <f t="shared" si="1"/>
        <v>0</v>
      </c>
      <c r="AE34" s="121">
        <f t="shared" si="2"/>
        <v>0</v>
      </c>
      <c r="AF34" s="121">
        <f t="shared" si="3"/>
        <v>0</v>
      </c>
      <c r="AG34" s="120">
        <f t="shared" si="5"/>
        <v>0</v>
      </c>
      <c r="AH34" s="120">
        <f t="shared" si="5"/>
        <v>0</v>
      </c>
    </row>
    <row r="35" spans="2:34">
      <c r="B35" s="25">
        <f t="shared" si="0"/>
        <v>24</v>
      </c>
      <c r="C35" s="32"/>
      <c r="D35" s="27"/>
      <c r="E35" s="28"/>
      <c r="F35" s="29"/>
      <c r="G35" s="30"/>
      <c r="H35" s="31"/>
      <c r="I35" s="63"/>
      <c r="J35" s="64"/>
      <c r="K35" s="65"/>
      <c r="L35" s="66"/>
      <c r="M35" s="67"/>
      <c r="N35" s="68"/>
      <c r="O35" s="66"/>
      <c r="P35" s="69"/>
      <c r="Q35" s="95"/>
      <c r="R35" s="96"/>
      <c r="S35" s="97"/>
      <c r="T35" s="98"/>
      <c r="U35" s="99"/>
      <c r="V35" s="99"/>
      <c r="W35" s="100"/>
      <c r="X35" s="101"/>
      <c r="Y35" s="101"/>
      <c r="Z35" s="118"/>
      <c r="AA35" s="118"/>
      <c r="AB35" s="118"/>
      <c r="AC35" s="119">
        <f>(E35*E46)+(F35*F46)+(G35*G46)+(H35*H46)+(I35*I46)+(J35*J46)+(K35*K46)+(L35*L46)+(M35*M46)+(N35*N46)+(O35*O46)+(P35*P46)+(Q35*Q46)+(R35*R46)+(S35*S46)+(T35*T46)+(U35*U46)+(V35*V46)+(W35*W46)+(X35*X46)+(Y35*Y46)+(Z35*Z46)+(AA35*AA46)+(AB35*AB46)</f>
        <v>0</v>
      </c>
      <c r="AD35" s="120">
        <f t="shared" si="1"/>
        <v>0</v>
      </c>
      <c r="AE35" s="121">
        <f t="shared" si="2"/>
        <v>0</v>
      </c>
      <c r="AF35" s="121">
        <f t="shared" si="3"/>
        <v>0</v>
      </c>
      <c r="AG35" s="120">
        <f t="shared" si="5"/>
        <v>0</v>
      </c>
      <c r="AH35" s="120">
        <f t="shared" si="5"/>
        <v>0</v>
      </c>
    </row>
    <row r="36" spans="2:34">
      <c r="B36" s="25">
        <f t="shared" si="0"/>
        <v>25</v>
      </c>
      <c r="C36" s="32"/>
      <c r="D36" s="27"/>
      <c r="E36" s="28"/>
      <c r="F36" s="29"/>
      <c r="G36" s="30"/>
      <c r="H36" s="31"/>
      <c r="I36" s="63"/>
      <c r="J36" s="64"/>
      <c r="K36" s="65"/>
      <c r="L36" s="66"/>
      <c r="M36" s="67"/>
      <c r="N36" s="68"/>
      <c r="O36" s="66"/>
      <c r="P36" s="69"/>
      <c r="Q36" s="95"/>
      <c r="R36" s="96"/>
      <c r="S36" s="97"/>
      <c r="T36" s="98"/>
      <c r="U36" s="99"/>
      <c r="V36" s="99"/>
      <c r="W36" s="100"/>
      <c r="X36" s="101"/>
      <c r="Y36" s="101"/>
      <c r="Z36" s="118"/>
      <c r="AA36" s="118"/>
      <c r="AB36" s="118"/>
      <c r="AC36" s="119">
        <f>(E36*E46)+(F36*F46)+(G36*G46)+(H36*H46)+(I36*I46)+(J36*J46)+(K36*K46)+(L36*L46)+(M36*M46)+(N36*N46)+(O36*O46)+(P36*P46)+(Q36*Q46)+(R36*R46)+(S36*S46)+(T36*T46)+(U36*U46)+(V36*V46)+(W36*W46)+(X36*X46)+(Y36*Y46)+(Z36*Z46)+(AA36*AA46)+(AB36*AB46)</f>
        <v>0</v>
      </c>
      <c r="AD36" s="120">
        <f t="shared" si="1"/>
        <v>0</v>
      </c>
      <c r="AE36" s="121">
        <f t="shared" si="2"/>
        <v>0</v>
      </c>
      <c r="AF36" s="121">
        <f t="shared" si="3"/>
        <v>0</v>
      </c>
      <c r="AG36" s="120">
        <f t="shared" si="5"/>
        <v>0</v>
      </c>
      <c r="AH36" s="120">
        <f t="shared" si="5"/>
        <v>0</v>
      </c>
    </row>
    <row r="37" spans="2:34">
      <c r="B37" s="25">
        <f t="shared" si="0"/>
        <v>26</v>
      </c>
      <c r="C37" s="32"/>
      <c r="D37" s="27"/>
      <c r="E37" s="28"/>
      <c r="F37" s="29"/>
      <c r="G37" s="30"/>
      <c r="H37" s="31"/>
      <c r="I37" s="63"/>
      <c r="J37" s="64"/>
      <c r="K37" s="65"/>
      <c r="L37" s="66"/>
      <c r="M37" s="67"/>
      <c r="N37" s="68"/>
      <c r="O37" s="66"/>
      <c r="P37" s="69"/>
      <c r="Q37" s="95"/>
      <c r="R37" s="96"/>
      <c r="S37" s="97"/>
      <c r="T37" s="98"/>
      <c r="U37" s="99"/>
      <c r="V37" s="99"/>
      <c r="W37" s="100"/>
      <c r="X37" s="101"/>
      <c r="Y37" s="101"/>
      <c r="Z37" s="118"/>
      <c r="AA37" s="118"/>
      <c r="AB37" s="118"/>
      <c r="AC37" s="119">
        <f>(E37*E46)+(F37*F46)+(G37*G46)+(H37*H46)+(I37*I46)+(J37*J46)+(K37*J46)+(L37*L46)+(M37*M46)+(N37*N46)+(O37*O46)+(P37*P46)+(Q37*Q46)+(R37*R46)+(S37*S46)+(T37*T46)+(U37*U46)+(V37*V46)+(W37*W46)+(X37*X46)+(Y37*Y46)+(Z37*Z46)+(AA37*AA46)+(AB37*AB46)</f>
        <v>0</v>
      </c>
      <c r="AD37" s="120">
        <f t="shared" si="1"/>
        <v>0</v>
      </c>
      <c r="AE37" s="121">
        <f t="shared" si="2"/>
        <v>0</v>
      </c>
      <c r="AF37" s="121">
        <f t="shared" si="3"/>
        <v>0</v>
      </c>
      <c r="AG37" s="120">
        <f t="shared" si="5"/>
        <v>0</v>
      </c>
      <c r="AH37" s="120">
        <f t="shared" si="5"/>
        <v>0</v>
      </c>
    </row>
    <row r="38" spans="2:34">
      <c r="B38" s="25">
        <f t="shared" si="0"/>
        <v>27</v>
      </c>
      <c r="C38" s="32"/>
      <c r="D38" s="27"/>
      <c r="E38" s="28"/>
      <c r="F38" s="29"/>
      <c r="G38" s="30"/>
      <c r="H38" s="31"/>
      <c r="I38" s="63"/>
      <c r="J38" s="64"/>
      <c r="K38" s="65"/>
      <c r="L38" s="66"/>
      <c r="M38" s="67"/>
      <c r="N38" s="68"/>
      <c r="O38" s="66"/>
      <c r="P38" s="69"/>
      <c r="Q38" s="95"/>
      <c r="R38" s="96"/>
      <c r="S38" s="97"/>
      <c r="T38" s="98"/>
      <c r="U38" s="99"/>
      <c r="V38" s="99"/>
      <c r="W38" s="100"/>
      <c r="X38" s="101"/>
      <c r="Y38" s="101"/>
      <c r="Z38" s="118"/>
      <c r="AA38" s="118"/>
      <c r="AB38" s="118"/>
      <c r="AC38" s="119">
        <f>(E38*E46)+(F38*F46)+(G38*G46)+(H38*H46)+(I38*I46)+(J38*J46)+(K38*K46)+(L38*L46)+(M38*M46)+(N38*N46)+(O38*O46)+(P38*P46)+(Q38*Q46)+(R38*R46)+(S38*S46)+(T38*T46)+(U38*U46)+(V38*V46)+(W38*W46)+(X38*X46)+(Y38*Y46)+(Z38*Z46)+(AA38*AA46)+(AB38*AB46)</f>
        <v>0</v>
      </c>
      <c r="AD38" s="120">
        <f t="shared" si="1"/>
        <v>0</v>
      </c>
      <c r="AE38" s="121">
        <f t="shared" si="2"/>
        <v>0</v>
      </c>
      <c r="AF38" s="121">
        <f t="shared" si="3"/>
        <v>0</v>
      </c>
      <c r="AG38" s="120">
        <f t="shared" si="5"/>
        <v>0</v>
      </c>
      <c r="AH38" s="120">
        <f t="shared" si="5"/>
        <v>0</v>
      </c>
    </row>
    <row r="39" spans="2:34">
      <c r="B39" s="25">
        <f t="shared" si="0"/>
        <v>28</v>
      </c>
      <c r="C39" s="32"/>
      <c r="D39" s="27"/>
      <c r="E39" s="28"/>
      <c r="F39" s="29"/>
      <c r="G39" s="30"/>
      <c r="H39" s="31"/>
      <c r="I39" s="63"/>
      <c r="J39" s="64"/>
      <c r="K39" s="65"/>
      <c r="L39" s="66"/>
      <c r="M39" s="67"/>
      <c r="N39" s="68"/>
      <c r="O39" s="66"/>
      <c r="P39" s="69"/>
      <c r="Q39" s="95"/>
      <c r="R39" s="96"/>
      <c r="S39" s="97"/>
      <c r="T39" s="98"/>
      <c r="U39" s="99"/>
      <c r="V39" s="99"/>
      <c r="W39" s="100"/>
      <c r="X39" s="101"/>
      <c r="Y39" s="101"/>
      <c r="Z39" s="118"/>
      <c r="AA39" s="118"/>
      <c r="AB39" s="118"/>
      <c r="AC39" s="119">
        <f>(E39*E46)+(F39*F46)+(G39*G46)+(H39*H46)+(I39*I46)+(J39*J46)+(K39*K46)+(L39*L46)+(M39*M46)+(N39*N46)+(O39*O46)+(P39*P46)+(Q39*Q46)+(R39*R46)+(S39*S46)+(T39*T46)+(U39*U46)+(V39*V46)+(W39*W46)+(X39*X46)+(Y39*Y46)+(Z39*Z46)+(AA39*AA46)+(AB39*AB46)</f>
        <v>0</v>
      </c>
      <c r="AD39" s="120">
        <f t="shared" si="1"/>
        <v>0</v>
      </c>
      <c r="AE39" s="121">
        <f t="shared" si="2"/>
        <v>0</v>
      </c>
      <c r="AF39" s="121">
        <f t="shared" si="3"/>
        <v>0</v>
      </c>
      <c r="AG39" s="120">
        <f t="shared" si="5"/>
        <v>0</v>
      </c>
      <c r="AH39" s="120">
        <f t="shared" si="5"/>
        <v>0</v>
      </c>
    </row>
    <row r="40" spans="2:34">
      <c r="B40" s="25">
        <f t="shared" si="0"/>
        <v>29</v>
      </c>
      <c r="C40" s="32"/>
      <c r="D40" s="27"/>
      <c r="E40" s="28"/>
      <c r="F40" s="29"/>
      <c r="G40" s="30"/>
      <c r="H40" s="31"/>
      <c r="I40" s="63"/>
      <c r="J40" s="64"/>
      <c r="K40" s="65"/>
      <c r="L40" s="66"/>
      <c r="M40" s="67"/>
      <c r="N40" s="68"/>
      <c r="O40" s="66"/>
      <c r="P40" s="69"/>
      <c r="Q40" s="95"/>
      <c r="R40" s="96"/>
      <c r="S40" s="97"/>
      <c r="T40" s="98"/>
      <c r="U40" s="99"/>
      <c r="V40" s="99"/>
      <c r="W40" s="100"/>
      <c r="X40" s="101"/>
      <c r="Y40" s="101"/>
      <c r="Z40" s="118"/>
      <c r="AA40" s="118"/>
      <c r="AB40" s="118"/>
      <c r="AC40" s="119">
        <f>(E40*E46)+(F40*F46)+(G40*G46)+(H40*H46)+(I40*I46)+(J40*J46)+(K40*J46)+(L40*L46)+(M40*M46)+(N40*N46)+(O40*O46)+(P40*P46)+(Q40*Q46)+(R40*R46)+(S40*S46)+(T40*T46)+(U40*U46)+(V40*V46)+(W40*W46)+(X40*X46)+(Y40*Y46)+(Z40*Z46)+(AA40*AA46)+(AB40*AB46)</f>
        <v>0</v>
      </c>
      <c r="AD40" s="120">
        <f t="shared" si="1"/>
        <v>0</v>
      </c>
      <c r="AE40" s="121">
        <f t="shared" si="2"/>
        <v>0</v>
      </c>
      <c r="AF40" s="121">
        <f t="shared" si="3"/>
        <v>0</v>
      </c>
      <c r="AG40" s="120">
        <f t="shared" si="5"/>
        <v>0</v>
      </c>
      <c r="AH40" s="120">
        <f t="shared" si="5"/>
        <v>0</v>
      </c>
    </row>
    <row r="41" spans="2:34">
      <c r="B41" s="25">
        <f t="shared" si="0"/>
        <v>30</v>
      </c>
      <c r="C41" s="32"/>
      <c r="D41" s="33"/>
      <c r="E41" s="28"/>
      <c r="F41" s="29"/>
      <c r="G41" s="30"/>
      <c r="H41" s="31"/>
      <c r="I41" s="63"/>
      <c r="J41" s="64"/>
      <c r="K41" s="65"/>
      <c r="L41" s="66"/>
      <c r="M41" s="67"/>
      <c r="N41" s="68"/>
      <c r="O41" s="66"/>
      <c r="P41" s="69"/>
      <c r="Q41" s="95"/>
      <c r="R41" s="96"/>
      <c r="S41" s="97"/>
      <c r="T41" s="98"/>
      <c r="U41" s="99"/>
      <c r="V41" s="99"/>
      <c r="W41" s="100"/>
      <c r="X41" s="101"/>
      <c r="Y41" s="101"/>
      <c r="Z41" s="118"/>
      <c r="AA41" s="118"/>
      <c r="AB41" s="118"/>
      <c r="AC41" s="119">
        <f>(E41*E46)+(F41*F46)+(G41*G46)+(H41*H46)+(I41*I46)+(J41*J46)+(K41*K46)+(L41*L46)+(M41*M46)+(N41*N46)+(O41*O46)+(P41*P46)+(Q41*Q46)+(R41*R46)+(S41*S46)+(T41*T46)+(U41*U46)+(V41*V46)+(W41*W46)+(X41*X46)+(Y41*Y46)+(Z41*Z46)+(AA41*AA46)+(AB41*AB46)</f>
        <v>0</v>
      </c>
      <c r="AD41" s="120">
        <f t="shared" si="1"/>
        <v>0</v>
      </c>
      <c r="AE41" s="121">
        <f t="shared" si="2"/>
        <v>0</v>
      </c>
      <c r="AF41" s="121">
        <f t="shared" si="3"/>
        <v>0</v>
      </c>
      <c r="AG41" s="120">
        <f t="shared" si="5"/>
        <v>0</v>
      </c>
      <c r="AH41" s="120">
        <f t="shared" si="5"/>
        <v>0</v>
      </c>
    </row>
    <row r="42" spans="2:34">
      <c r="B42" s="25">
        <f t="shared" si="0"/>
        <v>31</v>
      </c>
      <c r="C42" s="26"/>
      <c r="D42" s="25"/>
      <c r="E42" s="28"/>
      <c r="F42" s="29"/>
      <c r="G42" s="30"/>
      <c r="H42" s="31"/>
      <c r="I42" s="63"/>
      <c r="J42" s="64"/>
      <c r="K42" s="65"/>
      <c r="L42" s="66"/>
      <c r="M42" s="67"/>
      <c r="N42" s="68"/>
      <c r="O42" s="66"/>
      <c r="P42" s="69"/>
      <c r="Q42" s="102"/>
      <c r="R42" s="97"/>
      <c r="S42" s="97"/>
      <c r="T42" s="98"/>
      <c r="U42" s="99"/>
      <c r="V42" s="99"/>
      <c r="W42" s="100"/>
      <c r="X42" s="103"/>
      <c r="Y42" s="103"/>
      <c r="Z42" s="122"/>
      <c r="AA42" s="122"/>
      <c r="AB42" s="122"/>
      <c r="AC42" s="119">
        <f>(E42*E46)+(F42*F46)+(G42*G46)+(H42*H46)+(I42*I46)+(J42*J46)+(K42*K46)+(L42*L46)+(M42*M46)+(N42*N46)+(O42*O46)+(P42*P46)+(Q42*Q46)+(R42*R46)+(S42*S46)+(T42*T46)+(U42*U46)+(V42*V46)+(W42*W46)+(X42*X46)+(Y42*Y46)+(Z42*Z46)+(AA42*AA46)+(AB42*AB46)</f>
        <v>0</v>
      </c>
      <c r="AD42" s="120">
        <f t="shared" si="1"/>
        <v>0</v>
      </c>
      <c r="AE42" s="121">
        <f t="shared" si="2"/>
        <v>0</v>
      </c>
      <c r="AF42" s="123">
        <f t="shared" si="3"/>
        <v>0</v>
      </c>
      <c r="AG42" s="130">
        <f t="shared" si="5"/>
        <v>0</v>
      </c>
      <c r="AH42" s="130">
        <f t="shared" si="5"/>
        <v>0</v>
      </c>
    </row>
    <row r="43" ht="18.95" customHeight="1" spans="2:34">
      <c r="B43" s="34" t="s">
        <v>61</v>
      </c>
      <c r="C43" s="35">
        <f>COUNTA(C12:C42)</f>
        <v>0</v>
      </c>
      <c r="D43" s="36"/>
      <c r="E43" s="37">
        <f t="shared" ref="E43:AH43" si="6">SUM(E12:E42)</f>
        <v>0</v>
      </c>
      <c r="F43" s="37">
        <f t="shared" si="6"/>
        <v>0</v>
      </c>
      <c r="G43" s="38">
        <f t="shared" si="6"/>
        <v>0</v>
      </c>
      <c r="H43" s="38">
        <f t="shared" si="6"/>
        <v>0</v>
      </c>
      <c r="I43" s="70">
        <f t="shared" si="6"/>
        <v>0</v>
      </c>
      <c r="J43" s="70">
        <f t="shared" si="6"/>
        <v>0</v>
      </c>
      <c r="K43" s="71">
        <f t="shared" si="6"/>
        <v>0</v>
      </c>
      <c r="L43" s="71">
        <f t="shared" si="6"/>
        <v>0</v>
      </c>
      <c r="M43" s="72">
        <f t="shared" si="6"/>
        <v>0</v>
      </c>
      <c r="N43" s="72">
        <f t="shared" si="6"/>
        <v>0</v>
      </c>
      <c r="O43" s="71">
        <f t="shared" si="6"/>
        <v>0</v>
      </c>
      <c r="P43" s="71">
        <f t="shared" si="6"/>
        <v>0</v>
      </c>
      <c r="Q43" s="104">
        <f t="shared" si="6"/>
        <v>0</v>
      </c>
      <c r="R43" s="105">
        <f t="shared" si="6"/>
        <v>0</v>
      </c>
      <c r="S43" s="105">
        <f t="shared" si="6"/>
        <v>0</v>
      </c>
      <c r="T43" s="106">
        <f t="shared" si="6"/>
        <v>0</v>
      </c>
      <c r="U43" s="107">
        <f t="shared" si="6"/>
        <v>0</v>
      </c>
      <c r="V43" s="107">
        <f t="shared" si="6"/>
        <v>0</v>
      </c>
      <c r="W43" s="70">
        <f t="shared" si="6"/>
        <v>0</v>
      </c>
      <c r="X43" s="71">
        <f t="shared" si="6"/>
        <v>0</v>
      </c>
      <c r="Y43" s="124">
        <f t="shared" si="6"/>
        <v>0</v>
      </c>
      <c r="Z43" s="125">
        <f t="shared" si="6"/>
        <v>0</v>
      </c>
      <c r="AA43" s="125">
        <f t="shared" si="6"/>
        <v>0</v>
      </c>
      <c r="AB43" s="125">
        <f t="shared" si="6"/>
        <v>0</v>
      </c>
      <c r="AC43" s="125">
        <f t="shared" si="6"/>
        <v>0</v>
      </c>
      <c r="AD43" s="125">
        <f t="shared" si="6"/>
        <v>0</v>
      </c>
      <c r="AE43" s="125">
        <f t="shared" si="6"/>
        <v>0</v>
      </c>
      <c r="AF43" s="125">
        <f t="shared" si="6"/>
        <v>0</v>
      </c>
      <c r="AG43" s="125">
        <f t="shared" si="6"/>
        <v>0</v>
      </c>
      <c r="AH43" s="125">
        <f t="shared" si="6"/>
        <v>0</v>
      </c>
    </row>
    <row r="45" ht="16.5" spans="5:21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2:29">
      <c r="B46" s="39"/>
      <c r="C46" s="40" t="s">
        <v>62</v>
      </c>
      <c r="D46" s="40"/>
      <c r="E46" s="40">
        <v>130.56</v>
      </c>
      <c r="F46" s="40">
        <f>12*E46</f>
        <v>1566.72</v>
      </c>
      <c r="G46" s="40">
        <v>102</v>
      </c>
      <c r="H46" s="40">
        <f>G46*48</f>
        <v>4896</v>
      </c>
      <c r="I46" s="40">
        <v>130.56</v>
      </c>
      <c r="J46" s="40">
        <f>I46*12</f>
        <v>1566.72</v>
      </c>
      <c r="K46" s="40">
        <v>115.6</v>
      </c>
      <c r="L46" s="40">
        <f>K46*15</f>
        <v>1734</v>
      </c>
      <c r="M46" s="40">
        <v>34</v>
      </c>
      <c r="N46" s="40">
        <f>M46*6</f>
        <v>204</v>
      </c>
      <c r="O46" s="40">
        <v>204</v>
      </c>
      <c r="P46" s="40">
        <f>O46*4</f>
        <v>816</v>
      </c>
      <c r="Q46" s="40">
        <v>1020</v>
      </c>
      <c r="R46" s="40">
        <v>204</v>
      </c>
      <c r="S46" s="40">
        <f>R46*4</f>
        <v>816</v>
      </c>
      <c r="T46" s="40">
        <v>4964</v>
      </c>
      <c r="U46" s="40">
        <v>68</v>
      </c>
      <c r="V46" s="40">
        <f>U46*12</f>
        <v>816</v>
      </c>
      <c r="W46" s="40">
        <v>13.6</v>
      </c>
      <c r="X46" s="40">
        <v>48.96</v>
      </c>
      <c r="Y46" s="40">
        <f>X46*12</f>
        <v>587.52</v>
      </c>
      <c r="Z46" s="40">
        <v>1156</v>
      </c>
      <c r="AA46" s="40">
        <v>92.48</v>
      </c>
      <c r="AB46" s="40">
        <v>314.16</v>
      </c>
      <c r="AC46" s="126"/>
    </row>
  </sheetData>
  <mergeCells count="16">
    <mergeCell ref="E10:F10"/>
    <mergeCell ref="G10:H10"/>
    <mergeCell ref="I10:J10"/>
    <mergeCell ref="K10:L10"/>
    <mergeCell ref="M10:N10"/>
    <mergeCell ref="O10:P10"/>
    <mergeCell ref="R10:S10"/>
    <mergeCell ref="U10:V10"/>
    <mergeCell ref="X10:Y10"/>
    <mergeCell ref="AF10:AH10"/>
    <mergeCell ref="B10:B11"/>
    <mergeCell ref="C10:C11"/>
    <mergeCell ref="D10:D11"/>
    <mergeCell ref="AC10:AC11"/>
    <mergeCell ref="AD10:AD11"/>
    <mergeCell ref="AE10:AE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1.</vt:lpstr>
      <vt:lpstr>GOD FIRST</vt:lpstr>
      <vt:lpstr>GYASEHENE</vt:lpstr>
      <vt:lpstr>ADIEPANA</vt:lpstr>
      <vt:lpstr>BAAKOYE</vt:lpstr>
      <vt:lpstr>0</vt:lpstr>
      <vt:lpstr>YAWOWUSUKROM</vt:lpstr>
      <vt:lpstr>kramokrom 1</vt:lpstr>
      <vt:lpstr>SH1</vt:lpstr>
      <vt:lpstr>ADAMSO.</vt:lpstr>
      <vt:lpstr>13</vt:lpstr>
      <vt:lpstr>12</vt:lpstr>
      <vt:lpstr>5</vt:lpstr>
      <vt:lpstr>4</vt:lpstr>
      <vt:lpstr>3</vt:lpstr>
      <vt:lpstr>11</vt:lpstr>
      <vt:lpstr>1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Greenfield</cp:lastModifiedBy>
  <dcterms:created xsi:type="dcterms:W3CDTF">2021-11-06T13:10:00Z</dcterms:created>
  <dcterms:modified xsi:type="dcterms:W3CDTF">2026-01-12T16:49:12Z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EBE8A95D93B4487DA26AD663CA391FA7_12</vt:lpwstr>
  </property>
  <property fmtid="{D5CDD505-2E9C-101B-9397-08002B2CF9AE}" pid="3" name="KSOProductBuildVer">
    <vt:lpwstr>1033-12.2.0.23196</vt:lpwstr>
  </property>
</Properties>
</file>